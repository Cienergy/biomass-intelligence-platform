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B4879166-64BD-466D-8781-3B64EAD97A3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inder" sheetId="1" r:id="rId1"/>
    <sheet name="Calc" sheetId="2" r:id="rId2"/>
    <sheet name="Data" sheetId="3" r:id="rId3"/>
    <sheet name="Assumptions" sheetId="4" r:id="rId4"/>
    <sheet name="Lists" sheetId="5" r:id="rId5"/>
  </sheets>
  <definedNames>
    <definedName name="DistList">OFFSET(Data!$C$4,MATCH(Finder!$D$5,Data!$B$4:$B$747,0)-1,0,COUNTIF(Data!$B$4:$B$747,Finder!$D$5),1)</definedName>
    <definedName name="StateList">Lists!$A$2:$A$35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4" l="1"/>
  <c r="C7" i="4"/>
  <c r="O747" i="3"/>
  <c r="T747" i="3" s="1"/>
  <c r="D747" i="3"/>
  <c r="O746" i="3"/>
  <c r="T746" i="3" s="1"/>
  <c r="D746" i="3"/>
  <c r="O745" i="3"/>
  <c r="T745" i="3" s="1"/>
  <c r="D745" i="3"/>
  <c r="O744" i="3"/>
  <c r="T744" i="3" s="1"/>
  <c r="D744" i="3"/>
  <c r="O743" i="3"/>
  <c r="T743" i="3" s="1"/>
  <c r="D743" i="3"/>
  <c r="O742" i="3"/>
  <c r="T742" i="3" s="1"/>
  <c r="D742" i="3"/>
  <c r="O741" i="3"/>
  <c r="T741" i="3" s="1"/>
  <c r="D741" i="3"/>
  <c r="O740" i="3"/>
  <c r="T740" i="3" s="1"/>
  <c r="D740" i="3"/>
  <c r="O739" i="3"/>
  <c r="T739" i="3" s="1"/>
  <c r="D739" i="3"/>
  <c r="O738" i="3"/>
  <c r="T738" i="3" s="1"/>
  <c r="D738" i="3"/>
  <c r="O737" i="3"/>
  <c r="T737" i="3" s="1"/>
  <c r="D737" i="3"/>
  <c r="O736" i="3"/>
  <c r="T736" i="3" s="1"/>
  <c r="D736" i="3"/>
  <c r="O735" i="3"/>
  <c r="T735" i="3" s="1"/>
  <c r="D735" i="3"/>
  <c r="O734" i="3"/>
  <c r="T734" i="3" s="1"/>
  <c r="D734" i="3"/>
  <c r="O733" i="3"/>
  <c r="T733" i="3" s="1"/>
  <c r="D733" i="3"/>
  <c r="O732" i="3"/>
  <c r="T732" i="3" s="1"/>
  <c r="D732" i="3"/>
  <c r="O731" i="3"/>
  <c r="T731" i="3" s="1"/>
  <c r="D731" i="3"/>
  <c r="O730" i="3"/>
  <c r="T730" i="3" s="1"/>
  <c r="D730" i="3"/>
  <c r="O729" i="3"/>
  <c r="T729" i="3" s="1"/>
  <c r="D729" i="3"/>
  <c r="O728" i="3"/>
  <c r="T728" i="3" s="1"/>
  <c r="D728" i="3"/>
  <c r="O727" i="3"/>
  <c r="T727" i="3" s="1"/>
  <c r="D727" i="3"/>
  <c r="O726" i="3"/>
  <c r="T726" i="3" s="1"/>
  <c r="D726" i="3"/>
  <c r="O725" i="3"/>
  <c r="T725" i="3" s="1"/>
  <c r="D725" i="3"/>
  <c r="O724" i="3"/>
  <c r="T724" i="3" s="1"/>
  <c r="D724" i="3"/>
  <c r="O723" i="3"/>
  <c r="T723" i="3" s="1"/>
  <c r="D723" i="3"/>
  <c r="O722" i="3"/>
  <c r="T722" i="3" s="1"/>
  <c r="D722" i="3"/>
  <c r="O721" i="3"/>
  <c r="T721" i="3" s="1"/>
  <c r="D721" i="3"/>
  <c r="O720" i="3"/>
  <c r="T720" i="3" s="1"/>
  <c r="D720" i="3"/>
  <c r="O719" i="3"/>
  <c r="T719" i="3" s="1"/>
  <c r="D719" i="3"/>
  <c r="O718" i="3"/>
  <c r="T718" i="3" s="1"/>
  <c r="D718" i="3"/>
  <c r="O717" i="3"/>
  <c r="T717" i="3" s="1"/>
  <c r="D717" i="3"/>
  <c r="O716" i="3"/>
  <c r="T716" i="3" s="1"/>
  <c r="D716" i="3"/>
  <c r="O715" i="3"/>
  <c r="T715" i="3" s="1"/>
  <c r="D715" i="3"/>
  <c r="O714" i="3"/>
  <c r="T714" i="3" s="1"/>
  <c r="D714" i="3"/>
  <c r="O713" i="3"/>
  <c r="T713" i="3" s="1"/>
  <c r="D713" i="3"/>
  <c r="O712" i="3"/>
  <c r="T712" i="3" s="1"/>
  <c r="D712" i="3"/>
  <c r="O711" i="3"/>
  <c r="T711" i="3" s="1"/>
  <c r="D711" i="3"/>
  <c r="O710" i="3"/>
  <c r="T710" i="3" s="1"/>
  <c r="D710" i="3"/>
  <c r="O709" i="3"/>
  <c r="T709" i="3" s="1"/>
  <c r="D709" i="3"/>
  <c r="O708" i="3"/>
  <c r="T708" i="3" s="1"/>
  <c r="D708" i="3"/>
  <c r="O707" i="3"/>
  <c r="T707" i="3" s="1"/>
  <c r="D707" i="3"/>
  <c r="O706" i="3"/>
  <c r="T706" i="3" s="1"/>
  <c r="D706" i="3"/>
  <c r="O705" i="3"/>
  <c r="T705" i="3" s="1"/>
  <c r="D705" i="3"/>
  <c r="O704" i="3"/>
  <c r="T704" i="3" s="1"/>
  <c r="D704" i="3"/>
  <c r="O703" i="3"/>
  <c r="T703" i="3" s="1"/>
  <c r="D703" i="3"/>
  <c r="O702" i="3"/>
  <c r="T702" i="3" s="1"/>
  <c r="D702" i="3"/>
  <c r="O701" i="3"/>
  <c r="T701" i="3" s="1"/>
  <c r="D701" i="3"/>
  <c r="O700" i="3"/>
  <c r="T700" i="3" s="1"/>
  <c r="D700" i="3"/>
  <c r="O699" i="3"/>
  <c r="T699" i="3" s="1"/>
  <c r="D699" i="3"/>
  <c r="O698" i="3"/>
  <c r="T698" i="3" s="1"/>
  <c r="D698" i="3"/>
  <c r="O697" i="3"/>
  <c r="T697" i="3" s="1"/>
  <c r="D697" i="3"/>
  <c r="O696" i="3"/>
  <c r="T696" i="3" s="1"/>
  <c r="D696" i="3"/>
  <c r="O695" i="3"/>
  <c r="T695" i="3" s="1"/>
  <c r="D695" i="3"/>
  <c r="O694" i="3"/>
  <c r="T694" i="3" s="1"/>
  <c r="D694" i="3"/>
  <c r="O693" i="3"/>
  <c r="T693" i="3" s="1"/>
  <c r="D693" i="3"/>
  <c r="O692" i="3"/>
  <c r="T692" i="3" s="1"/>
  <c r="D692" i="3"/>
  <c r="O691" i="3"/>
  <c r="T691" i="3" s="1"/>
  <c r="D691" i="3"/>
  <c r="O690" i="3"/>
  <c r="T690" i="3" s="1"/>
  <c r="D690" i="3"/>
  <c r="O689" i="3"/>
  <c r="T689" i="3" s="1"/>
  <c r="D689" i="3"/>
  <c r="O688" i="3"/>
  <c r="T688" i="3" s="1"/>
  <c r="D688" i="3"/>
  <c r="O687" i="3"/>
  <c r="T687" i="3" s="1"/>
  <c r="D687" i="3"/>
  <c r="O686" i="3"/>
  <c r="T686" i="3" s="1"/>
  <c r="D686" i="3"/>
  <c r="O685" i="3"/>
  <c r="T685" i="3" s="1"/>
  <c r="D685" i="3"/>
  <c r="O684" i="3"/>
  <c r="T684" i="3" s="1"/>
  <c r="D684" i="3"/>
  <c r="O683" i="3"/>
  <c r="T683" i="3" s="1"/>
  <c r="D683" i="3"/>
  <c r="O682" i="3"/>
  <c r="T682" i="3" s="1"/>
  <c r="D682" i="3"/>
  <c r="O681" i="3"/>
  <c r="T681" i="3" s="1"/>
  <c r="D681" i="3"/>
  <c r="O680" i="3"/>
  <c r="T680" i="3" s="1"/>
  <c r="D680" i="3"/>
  <c r="O679" i="3"/>
  <c r="T679" i="3" s="1"/>
  <c r="D679" i="3"/>
  <c r="O678" i="3"/>
  <c r="T678" i="3" s="1"/>
  <c r="D678" i="3"/>
  <c r="O677" i="3"/>
  <c r="T677" i="3" s="1"/>
  <c r="D677" i="3"/>
  <c r="O676" i="3"/>
  <c r="T676" i="3" s="1"/>
  <c r="D676" i="3"/>
  <c r="O675" i="3"/>
  <c r="T675" i="3" s="1"/>
  <c r="D675" i="3"/>
  <c r="O674" i="3"/>
  <c r="T674" i="3" s="1"/>
  <c r="D674" i="3"/>
  <c r="O673" i="3"/>
  <c r="T673" i="3" s="1"/>
  <c r="D673" i="3"/>
  <c r="O672" i="3"/>
  <c r="T672" i="3" s="1"/>
  <c r="D672" i="3"/>
  <c r="O671" i="3"/>
  <c r="T671" i="3" s="1"/>
  <c r="D671" i="3"/>
  <c r="O670" i="3"/>
  <c r="T670" i="3" s="1"/>
  <c r="D670" i="3"/>
  <c r="O669" i="3"/>
  <c r="T669" i="3" s="1"/>
  <c r="D669" i="3"/>
  <c r="O668" i="3"/>
  <c r="T668" i="3" s="1"/>
  <c r="D668" i="3"/>
  <c r="O667" i="3"/>
  <c r="T667" i="3" s="1"/>
  <c r="D667" i="3"/>
  <c r="O666" i="3"/>
  <c r="T666" i="3" s="1"/>
  <c r="D666" i="3"/>
  <c r="O665" i="3"/>
  <c r="T665" i="3" s="1"/>
  <c r="D665" i="3"/>
  <c r="O664" i="3"/>
  <c r="T664" i="3" s="1"/>
  <c r="D664" i="3"/>
  <c r="O663" i="3"/>
  <c r="T663" i="3" s="1"/>
  <c r="D663" i="3"/>
  <c r="O662" i="3"/>
  <c r="T662" i="3" s="1"/>
  <c r="D662" i="3"/>
  <c r="O661" i="3"/>
  <c r="T661" i="3" s="1"/>
  <c r="D661" i="3"/>
  <c r="O660" i="3"/>
  <c r="T660" i="3" s="1"/>
  <c r="D660" i="3"/>
  <c r="O659" i="3"/>
  <c r="T659" i="3" s="1"/>
  <c r="D659" i="3"/>
  <c r="O658" i="3"/>
  <c r="T658" i="3" s="1"/>
  <c r="D658" i="3"/>
  <c r="O657" i="3"/>
  <c r="T657" i="3" s="1"/>
  <c r="D657" i="3"/>
  <c r="O656" i="3"/>
  <c r="T656" i="3" s="1"/>
  <c r="D656" i="3"/>
  <c r="O655" i="3"/>
  <c r="T655" i="3" s="1"/>
  <c r="D655" i="3"/>
  <c r="O654" i="3"/>
  <c r="T654" i="3" s="1"/>
  <c r="D654" i="3"/>
  <c r="O653" i="3"/>
  <c r="T653" i="3" s="1"/>
  <c r="D653" i="3"/>
  <c r="O652" i="3"/>
  <c r="T652" i="3" s="1"/>
  <c r="D652" i="3"/>
  <c r="O651" i="3"/>
  <c r="T651" i="3" s="1"/>
  <c r="D651" i="3"/>
  <c r="O650" i="3"/>
  <c r="T650" i="3" s="1"/>
  <c r="D650" i="3"/>
  <c r="O649" i="3"/>
  <c r="T649" i="3" s="1"/>
  <c r="D649" i="3"/>
  <c r="O648" i="3"/>
  <c r="T648" i="3" s="1"/>
  <c r="D648" i="3"/>
  <c r="O647" i="3"/>
  <c r="T647" i="3" s="1"/>
  <c r="D647" i="3"/>
  <c r="O646" i="3"/>
  <c r="T646" i="3" s="1"/>
  <c r="D646" i="3"/>
  <c r="O645" i="3"/>
  <c r="T645" i="3" s="1"/>
  <c r="D645" i="3"/>
  <c r="O644" i="3"/>
  <c r="T644" i="3" s="1"/>
  <c r="D644" i="3"/>
  <c r="O643" i="3"/>
  <c r="T643" i="3" s="1"/>
  <c r="D643" i="3"/>
  <c r="O642" i="3"/>
  <c r="T642" i="3" s="1"/>
  <c r="D642" i="3"/>
  <c r="O641" i="3"/>
  <c r="T641" i="3" s="1"/>
  <c r="D641" i="3"/>
  <c r="O640" i="3"/>
  <c r="T640" i="3" s="1"/>
  <c r="D640" i="3"/>
  <c r="O639" i="3"/>
  <c r="T639" i="3" s="1"/>
  <c r="D639" i="3"/>
  <c r="O638" i="3"/>
  <c r="T638" i="3" s="1"/>
  <c r="D638" i="3"/>
  <c r="O637" i="3"/>
  <c r="T637" i="3" s="1"/>
  <c r="D637" i="3"/>
  <c r="O636" i="3"/>
  <c r="T636" i="3" s="1"/>
  <c r="D636" i="3"/>
  <c r="O635" i="3"/>
  <c r="T635" i="3" s="1"/>
  <c r="D635" i="3"/>
  <c r="O634" i="3"/>
  <c r="T634" i="3" s="1"/>
  <c r="D634" i="3"/>
  <c r="O633" i="3"/>
  <c r="T633" i="3" s="1"/>
  <c r="D633" i="3"/>
  <c r="O632" i="3"/>
  <c r="T632" i="3" s="1"/>
  <c r="D632" i="3"/>
  <c r="O631" i="3"/>
  <c r="T631" i="3" s="1"/>
  <c r="D631" i="3"/>
  <c r="O630" i="3"/>
  <c r="T630" i="3" s="1"/>
  <c r="D630" i="3"/>
  <c r="O629" i="3"/>
  <c r="T629" i="3" s="1"/>
  <c r="D629" i="3"/>
  <c r="O628" i="3"/>
  <c r="T628" i="3" s="1"/>
  <c r="D628" i="3"/>
  <c r="O627" i="3"/>
  <c r="T627" i="3" s="1"/>
  <c r="D627" i="3"/>
  <c r="O626" i="3"/>
  <c r="T626" i="3" s="1"/>
  <c r="D626" i="3"/>
  <c r="O625" i="3"/>
  <c r="T625" i="3" s="1"/>
  <c r="D625" i="3"/>
  <c r="O624" i="3"/>
  <c r="T624" i="3" s="1"/>
  <c r="D624" i="3"/>
  <c r="O623" i="3"/>
  <c r="T623" i="3" s="1"/>
  <c r="D623" i="3"/>
  <c r="O622" i="3"/>
  <c r="T622" i="3" s="1"/>
  <c r="D622" i="3"/>
  <c r="O621" i="3"/>
  <c r="T621" i="3" s="1"/>
  <c r="D621" i="3"/>
  <c r="O620" i="3"/>
  <c r="T620" i="3" s="1"/>
  <c r="D620" i="3"/>
  <c r="O619" i="3"/>
  <c r="T619" i="3" s="1"/>
  <c r="D619" i="3"/>
  <c r="O618" i="3"/>
  <c r="T618" i="3" s="1"/>
  <c r="D618" i="3"/>
  <c r="O617" i="3"/>
  <c r="T617" i="3" s="1"/>
  <c r="D617" i="3"/>
  <c r="O616" i="3"/>
  <c r="T616" i="3" s="1"/>
  <c r="D616" i="3"/>
  <c r="O615" i="3"/>
  <c r="T615" i="3" s="1"/>
  <c r="D615" i="3"/>
  <c r="O614" i="3"/>
  <c r="T614" i="3" s="1"/>
  <c r="D614" i="3"/>
  <c r="O613" i="3"/>
  <c r="T613" i="3" s="1"/>
  <c r="D613" i="3"/>
  <c r="O612" i="3"/>
  <c r="T612" i="3" s="1"/>
  <c r="D612" i="3"/>
  <c r="O611" i="3"/>
  <c r="T611" i="3" s="1"/>
  <c r="D611" i="3"/>
  <c r="O610" i="3"/>
  <c r="T610" i="3" s="1"/>
  <c r="D610" i="3"/>
  <c r="O609" i="3"/>
  <c r="T609" i="3" s="1"/>
  <c r="D609" i="3"/>
  <c r="O608" i="3"/>
  <c r="T608" i="3" s="1"/>
  <c r="D608" i="3"/>
  <c r="O607" i="3"/>
  <c r="T607" i="3" s="1"/>
  <c r="D607" i="3"/>
  <c r="O606" i="3"/>
  <c r="T606" i="3" s="1"/>
  <c r="D606" i="3"/>
  <c r="O605" i="3"/>
  <c r="T605" i="3" s="1"/>
  <c r="D605" i="3"/>
  <c r="O604" i="3"/>
  <c r="T604" i="3" s="1"/>
  <c r="D604" i="3"/>
  <c r="O603" i="3"/>
  <c r="T603" i="3" s="1"/>
  <c r="D603" i="3"/>
  <c r="O602" i="3"/>
  <c r="T602" i="3" s="1"/>
  <c r="D602" i="3"/>
  <c r="O601" i="3"/>
  <c r="T601" i="3" s="1"/>
  <c r="D601" i="3"/>
  <c r="O600" i="3"/>
  <c r="T600" i="3" s="1"/>
  <c r="D600" i="3"/>
  <c r="O599" i="3"/>
  <c r="T599" i="3" s="1"/>
  <c r="D599" i="3"/>
  <c r="O598" i="3"/>
  <c r="T598" i="3" s="1"/>
  <c r="D598" i="3"/>
  <c r="O597" i="3"/>
  <c r="T597" i="3" s="1"/>
  <c r="D597" i="3"/>
  <c r="O596" i="3"/>
  <c r="T596" i="3" s="1"/>
  <c r="D596" i="3"/>
  <c r="O595" i="3"/>
  <c r="T595" i="3" s="1"/>
  <c r="D595" i="3"/>
  <c r="O594" i="3"/>
  <c r="T594" i="3" s="1"/>
  <c r="D594" i="3"/>
  <c r="O593" i="3"/>
  <c r="T593" i="3" s="1"/>
  <c r="D593" i="3"/>
  <c r="O592" i="3"/>
  <c r="T592" i="3" s="1"/>
  <c r="D592" i="3"/>
  <c r="O591" i="3"/>
  <c r="T591" i="3" s="1"/>
  <c r="D591" i="3"/>
  <c r="O590" i="3"/>
  <c r="T590" i="3" s="1"/>
  <c r="D590" i="3"/>
  <c r="O589" i="3"/>
  <c r="T589" i="3" s="1"/>
  <c r="D589" i="3"/>
  <c r="O588" i="3"/>
  <c r="T588" i="3" s="1"/>
  <c r="D588" i="3"/>
  <c r="O587" i="3"/>
  <c r="T587" i="3" s="1"/>
  <c r="D587" i="3"/>
  <c r="O586" i="3"/>
  <c r="T586" i="3" s="1"/>
  <c r="D586" i="3"/>
  <c r="O585" i="3"/>
  <c r="T585" i="3" s="1"/>
  <c r="D585" i="3"/>
  <c r="O584" i="3"/>
  <c r="T584" i="3" s="1"/>
  <c r="D584" i="3"/>
  <c r="O583" i="3"/>
  <c r="T583" i="3" s="1"/>
  <c r="D583" i="3"/>
  <c r="O582" i="3"/>
  <c r="T582" i="3" s="1"/>
  <c r="D582" i="3"/>
  <c r="O581" i="3"/>
  <c r="T581" i="3" s="1"/>
  <c r="D581" i="3"/>
  <c r="O580" i="3"/>
  <c r="T580" i="3" s="1"/>
  <c r="D580" i="3"/>
  <c r="O579" i="3"/>
  <c r="T579" i="3" s="1"/>
  <c r="D579" i="3"/>
  <c r="O578" i="3"/>
  <c r="T578" i="3" s="1"/>
  <c r="D578" i="3"/>
  <c r="O577" i="3"/>
  <c r="T577" i="3" s="1"/>
  <c r="D577" i="3"/>
  <c r="O576" i="3"/>
  <c r="T576" i="3" s="1"/>
  <c r="D576" i="3"/>
  <c r="O575" i="3"/>
  <c r="T575" i="3" s="1"/>
  <c r="D575" i="3"/>
  <c r="O574" i="3"/>
  <c r="T574" i="3" s="1"/>
  <c r="D574" i="3"/>
  <c r="O573" i="3"/>
  <c r="T573" i="3" s="1"/>
  <c r="D573" i="3"/>
  <c r="O572" i="3"/>
  <c r="T572" i="3" s="1"/>
  <c r="D572" i="3"/>
  <c r="O571" i="3"/>
  <c r="T571" i="3" s="1"/>
  <c r="D571" i="3"/>
  <c r="O570" i="3"/>
  <c r="T570" i="3" s="1"/>
  <c r="D570" i="3"/>
  <c r="O569" i="3"/>
  <c r="T569" i="3" s="1"/>
  <c r="D569" i="3"/>
  <c r="O568" i="3"/>
  <c r="T568" i="3" s="1"/>
  <c r="D568" i="3"/>
  <c r="O567" i="3"/>
  <c r="T567" i="3" s="1"/>
  <c r="D567" i="3"/>
  <c r="O566" i="3"/>
  <c r="T566" i="3" s="1"/>
  <c r="D566" i="3"/>
  <c r="O565" i="3"/>
  <c r="T565" i="3" s="1"/>
  <c r="D565" i="3"/>
  <c r="O564" i="3"/>
  <c r="T564" i="3" s="1"/>
  <c r="D564" i="3"/>
  <c r="O563" i="3"/>
  <c r="T563" i="3" s="1"/>
  <c r="D563" i="3"/>
  <c r="O562" i="3"/>
  <c r="T562" i="3" s="1"/>
  <c r="D562" i="3"/>
  <c r="O561" i="3"/>
  <c r="T561" i="3" s="1"/>
  <c r="D561" i="3"/>
  <c r="O560" i="3"/>
  <c r="T560" i="3" s="1"/>
  <c r="D560" i="3"/>
  <c r="O559" i="3"/>
  <c r="T559" i="3" s="1"/>
  <c r="D559" i="3"/>
  <c r="O558" i="3"/>
  <c r="T558" i="3" s="1"/>
  <c r="D558" i="3"/>
  <c r="O557" i="3"/>
  <c r="T557" i="3" s="1"/>
  <c r="D557" i="3"/>
  <c r="O556" i="3"/>
  <c r="T556" i="3" s="1"/>
  <c r="D556" i="3"/>
  <c r="O555" i="3"/>
  <c r="T555" i="3" s="1"/>
  <c r="D555" i="3"/>
  <c r="O554" i="3"/>
  <c r="T554" i="3" s="1"/>
  <c r="D554" i="3"/>
  <c r="O553" i="3"/>
  <c r="T553" i="3" s="1"/>
  <c r="D553" i="3"/>
  <c r="O552" i="3"/>
  <c r="T552" i="3" s="1"/>
  <c r="D552" i="3"/>
  <c r="O551" i="3"/>
  <c r="T551" i="3" s="1"/>
  <c r="D551" i="3"/>
  <c r="O550" i="3"/>
  <c r="T550" i="3" s="1"/>
  <c r="D550" i="3"/>
  <c r="O549" i="3"/>
  <c r="T549" i="3" s="1"/>
  <c r="D549" i="3"/>
  <c r="O548" i="3"/>
  <c r="T548" i="3" s="1"/>
  <c r="D548" i="3"/>
  <c r="O547" i="3"/>
  <c r="T547" i="3" s="1"/>
  <c r="D547" i="3"/>
  <c r="O546" i="3"/>
  <c r="T546" i="3" s="1"/>
  <c r="D546" i="3"/>
  <c r="O545" i="3"/>
  <c r="T545" i="3" s="1"/>
  <c r="D545" i="3"/>
  <c r="O544" i="3"/>
  <c r="T544" i="3" s="1"/>
  <c r="D544" i="3"/>
  <c r="O543" i="3"/>
  <c r="T543" i="3" s="1"/>
  <c r="D543" i="3"/>
  <c r="O542" i="3"/>
  <c r="T542" i="3" s="1"/>
  <c r="D542" i="3"/>
  <c r="O541" i="3"/>
  <c r="T541" i="3" s="1"/>
  <c r="D541" i="3"/>
  <c r="O540" i="3"/>
  <c r="T540" i="3" s="1"/>
  <c r="D540" i="3"/>
  <c r="O539" i="3"/>
  <c r="T539" i="3" s="1"/>
  <c r="D539" i="3"/>
  <c r="O538" i="3"/>
  <c r="T538" i="3" s="1"/>
  <c r="D538" i="3"/>
  <c r="O537" i="3"/>
  <c r="T537" i="3" s="1"/>
  <c r="D537" i="3"/>
  <c r="O536" i="3"/>
  <c r="T536" i="3" s="1"/>
  <c r="D536" i="3"/>
  <c r="O535" i="3"/>
  <c r="T535" i="3" s="1"/>
  <c r="D535" i="3"/>
  <c r="O534" i="3"/>
  <c r="T534" i="3" s="1"/>
  <c r="D534" i="3"/>
  <c r="O533" i="3"/>
  <c r="T533" i="3" s="1"/>
  <c r="D533" i="3"/>
  <c r="O532" i="3"/>
  <c r="T532" i="3" s="1"/>
  <c r="D532" i="3"/>
  <c r="O531" i="3"/>
  <c r="T531" i="3" s="1"/>
  <c r="D531" i="3"/>
  <c r="O530" i="3"/>
  <c r="T530" i="3" s="1"/>
  <c r="D530" i="3"/>
  <c r="O529" i="3"/>
  <c r="T529" i="3" s="1"/>
  <c r="D529" i="3"/>
  <c r="O528" i="3"/>
  <c r="T528" i="3" s="1"/>
  <c r="D528" i="3"/>
  <c r="O527" i="3"/>
  <c r="T527" i="3" s="1"/>
  <c r="D527" i="3"/>
  <c r="O526" i="3"/>
  <c r="T526" i="3" s="1"/>
  <c r="D526" i="3"/>
  <c r="O525" i="3"/>
  <c r="T525" i="3" s="1"/>
  <c r="D525" i="3"/>
  <c r="O524" i="3"/>
  <c r="T524" i="3" s="1"/>
  <c r="D524" i="3"/>
  <c r="O523" i="3"/>
  <c r="T523" i="3" s="1"/>
  <c r="D523" i="3"/>
  <c r="O522" i="3"/>
  <c r="T522" i="3" s="1"/>
  <c r="D522" i="3"/>
  <c r="O521" i="3"/>
  <c r="T521" i="3" s="1"/>
  <c r="D521" i="3"/>
  <c r="O520" i="3"/>
  <c r="T520" i="3" s="1"/>
  <c r="D520" i="3"/>
  <c r="O519" i="3"/>
  <c r="T519" i="3" s="1"/>
  <c r="D519" i="3"/>
  <c r="O518" i="3"/>
  <c r="T518" i="3" s="1"/>
  <c r="D518" i="3"/>
  <c r="O517" i="3"/>
  <c r="T517" i="3" s="1"/>
  <c r="D517" i="3"/>
  <c r="O516" i="3"/>
  <c r="T516" i="3" s="1"/>
  <c r="D516" i="3"/>
  <c r="O515" i="3"/>
  <c r="T515" i="3" s="1"/>
  <c r="D515" i="3"/>
  <c r="O514" i="3"/>
  <c r="T514" i="3" s="1"/>
  <c r="D514" i="3"/>
  <c r="O513" i="3"/>
  <c r="T513" i="3" s="1"/>
  <c r="D513" i="3"/>
  <c r="O512" i="3"/>
  <c r="T512" i="3" s="1"/>
  <c r="D512" i="3"/>
  <c r="O511" i="3"/>
  <c r="T511" i="3" s="1"/>
  <c r="D511" i="3"/>
  <c r="O510" i="3"/>
  <c r="T510" i="3" s="1"/>
  <c r="D510" i="3"/>
  <c r="O509" i="3"/>
  <c r="T509" i="3" s="1"/>
  <c r="D509" i="3"/>
  <c r="O508" i="3"/>
  <c r="T508" i="3" s="1"/>
  <c r="D508" i="3"/>
  <c r="O507" i="3"/>
  <c r="T507" i="3" s="1"/>
  <c r="D507" i="3"/>
  <c r="O506" i="3"/>
  <c r="T506" i="3" s="1"/>
  <c r="D506" i="3"/>
  <c r="O505" i="3"/>
  <c r="T505" i="3" s="1"/>
  <c r="D505" i="3"/>
  <c r="O504" i="3"/>
  <c r="T504" i="3" s="1"/>
  <c r="D504" i="3"/>
  <c r="O503" i="3"/>
  <c r="T503" i="3" s="1"/>
  <c r="D503" i="3"/>
  <c r="O502" i="3"/>
  <c r="T502" i="3" s="1"/>
  <c r="D502" i="3"/>
  <c r="O501" i="3"/>
  <c r="T501" i="3" s="1"/>
  <c r="D501" i="3"/>
  <c r="O500" i="3"/>
  <c r="T500" i="3" s="1"/>
  <c r="D500" i="3"/>
  <c r="O499" i="3"/>
  <c r="T499" i="3" s="1"/>
  <c r="D499" i="3"/>
  <c r="O498" i="3"/>
  <c r="T498" i="3" s="1"/>
  <c r="D498" i="3"/>
  <c r="O497" i="3"/>
  <c r="T497" i="3" s="1"/>
  <c r="D497" i="3"/>
  <c r="O496" i="3"/>
  <c r="T496" i="3" s="1"/>
  <c r="D496" i="3"/>
  <c r="O495" i="3"/>
  <c r="T495" i="3" s="1"/>
  <c r="D495" i="3"/>
  <c r="O494" i="3"/>
  <c r="T494" i="3" s="1"/>
  <c r="D494" i="3"/>
  <c r="O493" i="3"/>
  <c r="T493" i="3" s="1"/>
  <c r="D493" i="3"/>
  <c r="O492" i="3"/>
  <c r="T492" i="3" s="1"/>
  <c r="D492" i="3"/>
  <c r="O491" i="3"/>
  <c r="T491" i="3" s="1"/>
  <c r="D491" i="3"/>
  <c r="O490" i="3"/>
  <c r="T490" i="3" s="1"/>
  <c r="D490" i="3"/>
  <c r="O489" i="3"/>
  <c r="T489" i="3" s="1"/>
  <c r="D489" i="3"/>
  <c r="O488" i="3"/>
  <c r="T488" i="3" s="1"/>
  <c r="D488" i="3"/>
  <c r="O487" i="3"/>
  <c r="T487" i="3" s="1"/>
  <c r="D487" i="3"/>
  <c r="O486" i="3"/>
  <c r="T486" i="3" s="1"/>
  <c r="D486" i="3"/>
  <c r="O485" i="3"/>
  <c r="T485" i="3" s="1"/>
  <c r="D485" i="3"/>
  <c r="O484" i="3"/>
  <c r="T484" i="3" s="1"/>
  <c r="D484" i="3"/>
  <c r="O483" i="3"/>
  <c r="T483" i="3" s="1"/>
  <c r="D483" i="3"/>
  <c r="O482" i="3"/>
  <c r="T482" i="3" s="1"/>
  <c r="D482" i="3"/>
  <c r="O481" i="3"/>
  <c r="T481" i="3" s="1"/>
  <c r="D481" i="3"/>
  <c r="O480" i="3"/>
  <c r="T480" i="3" s="1"/>
  <c r="D480" i="3"/>
  <c r="O479" i="3"/>
  <c r="T479" i="3" s="1"/>
  <c r="D479" i="3"/>
  <c r="O478" i="3"/>
  <c r="T478" i="3" s="1"/>
  <c r="D478" i="3"/>
  <c r="O477" i="3"/>
  <c r="T477" i="3" s="1"/>
  <c r="D477" i="3"/>
  <c r="O476" i="3"/>
  <c r="T476" i="3" s="1"/>
  <c r="D476" i="3"/>
  <c r="O475" i="3"/>
  <c r="T475" i="3" s="1"/>
  <c r="D475" i="3"/>
  <c r="O474" i="3"/>
  <c r="T474" i="3" s="1"/>
  <c r="D474" i="3"/>
  <c r="O473" i="3"/>
  <c r="T473" i="3" s="1"/>
  <c r="D473" i="3"/>
  <c r="O472" i="3"/>
  <c r="T472" i="3" s="1"/>
  <c r="D472" i="3"/>
  <c r="O471" i="3"/>
  <c r="T471" i="3" s="1"/>
  <c r="D471" i="3"/>
  <c r="O470" i="3"/>
  <c r="T470" i="3" s="1"/>
  <c r="D470" i="3"/>
  <c r="O469" i="3"/>
  <c r="T469" i="3" s="1"/>
  <c r="D469" i="3"/>
  <c r="O468" i="3"/>
  <c r="T468" i="3" s="1"/>
  <c r="D468" i="3"/>
  <c r="O467" i="3"/>
  <c r="T467" i="3" s="1"/>
  <c r="D467" i="3"/>
  <c r="O466" i="3"/>
  <c r="T466" i="3" s="1"/>
  <c r="D466" i="3"/>
  <c r="O465" i="3"/>
  <c r="T465" i="3" s="1"/>
  <c r="D465" i="3"/>
  <c r="O464" i="3"/>
  <c r="T464" i="3" s="1"/>
  <c r="D464" i="3"/>
  <c r="O463" i="3"/>
  <c r="T463" i="3" s="1"/>
  <c r="D463" i="3"/>
  <c r="O462" i="3"/>
  <c r="T462" i="3" s="1"/>
  <c r="D462" i="3"/>
  <c r="O461" i="3"/>
  <c r="T461" i="3" s="1"/>
  <c r="D461" i="3"/>
  <c r="O460" i="3"/>
  <c r="T460" i="3" s="1"/>
  <c r="D460" i="3"/>
  <c r="O459" i="3"/>
  <c r="T459" i="3" s="1"/>
  <c r="D459" i="3"/>
  <c r="O458" i="3"/>
  <c r="T458" i="3" s="1"/>
  <c r="D458" i="3"/>
  <c r="O457" i="3"/>
  <c r="T457" i="3" s="1"/>
  <c r="D457" i="3"/>
  <c r="O456" i="3"/>
  <c r="T456" i="3" s="1"/>
  <c r="D456" i="3"/>
  <c r="O455" i="3"/>
  <c r="T455" i="3" s="1"/>
  <c r="D455" i="3"/>
  <c r="O454" i="3"/>
  <c r="T454" i="3" s="1"/>
  <c r="D454" i="3"/>
  <c r="O453" i="3"/>
  <c r="T453" i="3" s="1"/>
  <c r="D453" i="3"/>
  <c r="O452" i="3"/>
  <c r="T452" i="3" s="1"/>
  <c r="D452" i="3"/>
  <c r="O451" i="3"/>
  <c r="T451" i="3" s="1"/>
  <c r="D451" i="3"/>
  <c r="O450" i="3"/>
  <c r="T450" i="3" s="1"/>
  <c r="D450" i="3"/>
  <c r="O449" i="3"/>
  <c r="T449" i="3" s="1"/>
  <c r="D449" i="3"/>
  <c r="O448" i="3"/>
  <c r="T448" i="3" s="1"/>
  <c r="D448" i="3"/>
  <c r="O447" i="3"/>
  <c r="T447" i="3" s="1"/>
  <c r="D447" i="3"/>
  <c r="O446" i="3"/>
  <c r="T446" i="3" s="1"/>
  <c r="D446" i="3"/>
  <c r="O445" i="3"/>
  <c r="T445" i="3" s="1"/>
  <c r="D445" i="3"/>
  <c r="O444" i="3"/>
  <c r="T444" i="3" s="1"/>
  <c r="D444" i="3"/>
  <c r="O443" i="3"/>
  <c r="T443" i="3" s="1"/>
  <c r="D443" i="3"/>
  <c r="O442" i="3"/>
  <c r="T442" i="3" s="1"/>
  <c r="D442" i="3"/>
  <c r="O441" i="3"/>
  <c r="T441" i="3" s="1"/>
  <c r="D441" i="3"/>
  <c r="O440" i="3"/>
  <c r="T440" i="3" s="1"/>
  <c r="D440" i="3"/>
  <c r="O439" i="3"/>
  <c r="T439" i="3" s="1"/>
  <c r="D439" i="3"/>
  <c r="O438" i="3"/>
  <c r="T438" i="3" s="1"/>
  <c r="D438" i="3"/>
  <c r="O437" i="3"/>
  <c r="T437" i="3" s="1"/>
  <c r="D437" i="3"/>
  <c r="O436" i="3"/>
  <c r="T436" i="3" s="1"/>
  <c r="D436" i="3"/>
  <c r="O435" i="3"/>
  <c r="T435" i="3" s="1"/>
  <c r="D435" i="3"/>
  <c r="O434" i="3"/>
  <c r="T434" i="3" s="1"/>
  <c r="D434" i="3"/>
  <c r="O433" i="3"/>
  <c r="T433" i="3" s="1"/>
  <c r="D433" i="3"/>
  <c r="O432" i="3"/>
  <c r="T432" i="3" s="1"/>
  <c r="D432" i="3"/>
  <c r="O431" i="3"/>
  <c r="T431" i="3" s="1"/>
  <c r="D431" i="3"/>
  <c r="O430" i="3"/>
  <c r="T430" i="3" s="1"/>
  <c r="D430" i="3"/>
  <c r="O429" i="3"/>
  <c r="T429" i="3" s="1"/>
  <c r="D429" i="3"/>
  <c r="O428" i="3"/>
  <c r="T428" i="3" s="1"/>
  <c r="D428" i="3"/>
  <c r="O427" i="3"/>
  <c r="T427" i="3" s="1"/>
  <c r="D427" i="3"/>
  <c r="O426" i="3"/>
  <c r="T426" i="3" s="1"/>
  <c r="D426" i="3"/>
  <c r="O425" i="3"/>
  <c r="T425" i="3" s="1"/>
  <c r="D425" i="3"/>
  <c r="O424" i="3"/>
  <c r="T424" i="3" s="1"/>
  <c r="D424" i="3"/>
  <c r="O423" i="3"/>
  <c r="T423" i="3" s="1"/>
  <c r="D423" i="3"/>
  <c r="O422" i="3"/>
  <c r="T422" i="3" s="1"/>
  <c r="D422" i="3"/>
  <c r="O421" i="3"/>
  <c r="T421" i="3" s="1"/>
  <c r="D421" i="3"/>
  <c r="O420" i="3"/>
  <c r="T420" i="3" s="1"/>
  <c r="D420" i="3"/>
  <c r="O419" i="3"/>
  <c r="T419" i="3" s="1"/>
  <c r="D419" i="3"/>
  <c r="O418" i="3"/>
  <c r="T418" i="3" s="1"/>
  <c r="D418" i="3"/>
  <c r="O417" i="3"/>
  <c r="T417" i="3" s="1"/>
  <c r="D417" i="3"/>
  <c r="O416" i="3"/>
  <c r="T416" i="3" s="1"/>
  <c r="D416" i="3"/>
  <c r="O415" i="3"/>
  <c r="T415" i="3" s="1"/>
  <c r="D415" i="3"/>
  <c r="O414" i="3"/>
  <c r="T414" i="3" s="1"/>
  <c r="D414" i="3"/>
  <c r="O413" i="3"/>
  <c r="T413" i="3" s="1"/>
  <c r="D413" i="3"/>
  <c r="O412" i="3"/>
  <c r="T412" i="3" s="1"/>
  <c r="D412" i="3"/>
  <c r="O411" i="3"/>
  <c r="T411" i="3" s="1"/>
  <c r="D411" i="3"/>
  <c r="O410" i="3"/>
  <c r="T410" i="3" s="1"/>
  <c r="D410" i="3"/>
  <c r="O409" i="3"/>
  <c r="T409" i="3" s="1"/>
  <c r="D409" i="3"/>
  <c r="O408" i="3"/>
  <c r="T408" i="3" s="1"/>
  <c r="D408" i="3"/>
  <c r="O407" i="3"/>
  <c r="T407" i="3" s="1"/>
  <c r="D407" i="3"/>
  <c r="O406" i="3"/>
  <c r="T406" i="3" s="1"/>
  <c r="D406" i="3"/>
  <c r="O405" i="3"/>
  <c r="T405" i="3" s="1"/>
  <c r="D405" i="3"/>
  <c r="O404" i="3"/>
  <c r="T404" i="3" s="1"/>
  <c r="D404" i="3"/>
  <c r="O403" i="3"/>
  <c r="T403" i="3" s="1"/>
  <c r="D403" i="3"/>
  <c r="O402" i="3"/>
  <c r="T402" i="3" s="1"/>
  <c r="D402" i="3"/>
  <c r="O401" i="3"/>
  <c r="T401" i="3" s="1"/>
  <c r="D401" i="3"/>
  <c r="O400" i="3"/>
  <c r="T400" i="3" s="1"/>
  <c r="D400" i="3"/>
  <c r="O399" i="3"/>
  <c r="T399" i="3" s="1"/>
  <c r="D399" i="3"/>
  <c r="O398" i="3"/>
  <c r="T398" i="3" s="1"/>
  <c r="D398" i="3"/>
  <c r="O397" i="3"/>
  <c r="T397" i="3" s="1"/>
  <c r="D397" i="3"/>
  <c r="O396" i="3"/>
  <c r="T396" i="3" s="1"/>
  <c r="D396" i="3"/>
  <c r="O395" i="3"/>
  <c r="T395" i="3" s="1"/>
  <c r="D395" i="3"/>
  <c r="O394" i="3"/>
  <c r="T394" i="3" s="1"/>
  <c r="D394" i="3"/>
  <c r="O393" i="3"/>
  <c r="T393" i="3" s="1"/>
  <c r="D393" i="3"/>
  <c r="O392" i="3"/>
  <c r="T392" i="3" s="1"/>
  <c r="D392" i="3"/>
  <c r="O391" i="3"/>
  <c r="T391" i="3" s="1"/>
  <c r="D391" i="3"/>
  <c r="O390" i="3"/>
  <c r="T390" i="3" s="1"/>
  <c r="D390" i="3"/>
  <c r="O389" i="3"/>
  <c r="T389" i="3" s="1"/>
  <c r="D389" i="3"/>
  <c r="O388" i="3"/>
  <c r="T388" i="3" s="1"/>
  <c r="D388" i="3"/>
  <c r="O387" i="3"/>
  <c r="T387" i="3" s="1"/>
  <c r="D387" i="3"/>
  <c r="O386" i="3"/>
  <c r="T386" i="3" s="1"/>
  <c r="D386" i="3"/>
  <c r="O385" i="3"/>
  <c r="T385" i="3" s="1"/>
  <c r="D385" i="3"/>
  <c r="O384" i="3"/>
  <c r="T384" i="3" s="1"/>
  <c r="D384" i="3"/>
  <c r="O383" i="3"/>
  <c r="T383" i="3" s="1"/>
  <c r="D383" i="3"/>
  <c r="O382" i="3"/>
  <c r="T382" i="3" s="1"/>
  <c r="D382" i="3"/>
  <c r="O381" i="3"/>
  <c r="T381" i="3" s="1"/>
  <c r="D381" i="3"/>
  <c r="O380" i="3"/>
  <c r="T380" i="3" s="1"/>
  <c r="D380" i="3"/>
  <c r="O379" i="3"/>
  <c r="T379" i="3" s="1"/>
  <c r="D379" i="3"/>
  <c r="O378" i="3"/>
  <c r="T378" i="3" s="1"/>
  <c r="D378" i="3"/>
  <c r="O377" i="3"/>
  <c r="T377" i="3" s="1"/>
  <c r="D377" i="3"/>
  <c r="O376" i="3"/>
  <c r="T376" i="3" s="1"/>
  <c r="D376" i="3"/>
  <c r="O375" i="3"/>
  <c r="T375" i="3" s="1"/>
  <c r="D375" i="3"/>
  <c r="O374" i="3"/>
  <c r="T374" i="3" s="1"/>
  <c r="D374" i="3"/>
  <c r="O373" i="3"/>
  <c r="T373" i="3" s="1"/>
  <c r="D373" i="3"/>
  <c r="O372" i="3"/>
  <c r="T372" i="3" s="1"/>
  <c r="D372" i="3"/>
  <c r="O371" i="3"/>
  <c r="T371" i="3" s="1"/>
  <c r="D371" i="3"/>
  <c r="O370" i="3"/>
  <c r="T370" i="3" s="1"/>
  <c r="D370" i="3"/>
  <c r="O369" i="3"/>
  <c r="T369" i="3" s="1"/>
  <c r="D369" i="3"/>
  <c r="O368" i="3"/>
  <c r="T368" i="3" s="1"/>
  <c r="D368" i="3"/>
  <c r="O367" i="3"/>
  <c r="T367" i="3" s="1"/>
  <c r="D367" i="3"/>
  <c r="O366" i="3"/>
  <c r="T366" i="3" s="1"/>
  <c r="D366" i="3"/>
  <c r="O365" i="3"/>
  <c r="T365" i="3" s="1"/>
  <c r="D365" i="3"/>
  <c r="O364" i="3"/>
  <c r="T364" i="3" s="1"/>
  <c r="D364" i="3"/>
  <c r="O363" i="3"/>
  <c r="T363" i="3" s="1"/>
  <c r="D363" i="3"/>
  <c r="O362" i="3"/>
  <c r="T362" i="3" s="1"/>
  <c r="D362" i="3"/>
  <c r="O361" i="3"/>
  <c r="T361" i="3" s="1"/>
  <c r="D361" i="3"/>
  <c r="O360" i="3"/>
  <c r="T360" i="3" s="1"/>
  <c r="D360" i="3"/>
  <c r="O359" i="3"/>
  <c r="T359" i="3" s="1"/>
  <c r="D359" i="3"/>
  <c r="O358" i="3"/>
  <c r="T358" i="3" s="1"/>
  <c r="D358" i="3"/>
  <c r="O357" i="3"/>
  <c r="T357" i="3" s="1"/>
  <c r="D357" i="3"/>
  <c r="O356" i="3"/>
  <c r="T356" i="3" s="1"/>
  <c r="D356" i="3"/>
  <c r="O355" i="3"/>
  <c r="T355" i="3" s="1"/>
  <c r="D355" i="3"/>
  <c r="O354" i="3"/>
  <c r="T354" i="3" s="1"/>
  <c r="D354" i="3"/>
  <c r="O353" i="3"/>
  <c r="T353" i="3" s="1"/>
  <c r="D353" i="3"/>
  <c r="O352" i="3"/>
  <c r="T352" i="3" s="1"/>
  <c r="D352" i="3"/>
  <c r="O351" i="3"/>
  <c r="T351" i="3" s="1"/>
  <c r="D351" i="3"/>
  <c r="O350" i="3"/>
  <c r="T350" i="3" s="1"/>
  <c r="D350" i="3"/>
  <c r="O349" i="3"/>
  <c r="T349" i="3" s="1"/>
  <c r="D349" i="3"/>
  <c r="O348" i="3"/>
  <c r="T348" i="3" s="1"/>
  <c r="D348" i="3"/>
  <c r="O347" i="3"/>
  <c r="T347" i="3" s="1"/>
  <c r="D347" i="3"/>
  <c r="O346" i="3"/>
  <c r="T346" i="3" s="1"/>
  <c r="D346" i="3"/>
  <c r="O345" i="3"/>
  <c r="T345" i="3" s="1"/>
  <c r="D345" i="3"/>
  <c r="O344" i="3"/>
  <c r="T344" i="3" s="1"/>
  <c r="D344" i="3"/>
  <c r="O343" i="3"/>
  <c r="T343" i="3" s="1"/>
  <c r="D343" i="3"/>
  <c r="O342" i="3"/>
  <c r="T342" i="3" s="1"/>
  <c r="D342" i="3"/>
  <c r="O341" i="3"/>
  <c r="T341" i="3" s="1"/>
  <c r="D341" i="3"/>
  <c r="O340" i="3"/>
  <c r="T340" i="3" s="1"/>
  <c r="D340" i="3"/>
  <c r="O339" i="3"/>
  <c r="T339" i="3" s="1"/>
  <c r="D339" i="3"/>
  <c r="O338" i="3"/>
  <c r="T338" i="3" s="1"/>
  <c r="D338" i="3"/>
  <c r="O337" i="3"/>
  <c r="T337" i="3" s="1"/>
  <c r="D337" i="3"/>
  <c r="O336" i="3"/>
  <c r="T336" i="3" s="1"/>
  <c r="D336" i="3"/>
  <c r="O335" i="3"/>
  <c r="T335" i="3" s="1"/>
  <c r="D335" i="3"/>
  <c r="O334" i="3"/>
  <c r="T334" i="3" s="1"/>
  <c r="D334" i="3"/>
  <c r="O333" i="3"/>
  <c r="T333" i="3" s="1"/>
  <c r="D333" i="3"/>
  <c r="O332" i="3"/>
  <c r="T332" i="3" s="1"/>
  <c r="D332" i="3"/>
  <c r="O331" i="3"/>
  <c r="T331" i="3" s="1"/>
  <c r="D331" i="3"/>
  <c r="O330" i="3"/>
  <c r="T330" i="3" s="1"/>
  <c r="D330" i="3"/>
  <c r="O329" i="3"/>
  <c r="T329" i="3" s="1"/>
  <c r="D329" i="3"/>
  <c r="O328" i="3"/>
  <c r="T328" i="3" s="1"/>
  <c r="D328" i="3"/>
  <c r="O327" i="3"/>
  <c r="T327" i="3" s="1"/>
  <c r="D327" i="3"/>
  <c r="O326" i="3"/>
  <c r="T326" i="3" s="1"/>
  <c r="D326" i="3"/>
  <c r="O325" i="3"/>
  <c r="T325" i="3" s="1"/>
  <c r="D325" i="3"/>
  <c r="O324" i="3"/>
  <c r="T324" i="3" s="1"/>
  <c r="D324" i="3"/>
  <c r="O323" i="3"/>
  <c r="T323" i="3" s="1"/>
  <c r="D323" i="3"/>
  <c r="O322" i="3"/>
  <c r="T322" i="3" s="1"/>
  <c r="D322" i="3"/>
  <c r="O321" i="3"/>
  <c r="T321" i="3" s="1"/>
  <c r="D321" i="3"/>
  <c r="O320" i="3"/>
  <c r="T320" i="3" s="1"/>
  <c r="D320" i="3"/>
  <c r="O319" i="3"/>
  <c r="T319" i="3" s="1"/>
  <c r="D319" i="3"/>
  <c r="O318" i="3"/>
  <c r="T318" i="3" s="1"/>
  <c r="D318" i="3"/>
  <c r="O317" i="3"/>
  <c r="T317" i="3" s="1"/>
  <c r="D317" i="3"/>
  <c r="O316" i="3"/>
  <c r="T316" i="3" s="1"/>
  <c r="D316" i="3"/>
  <c r="O315" i="3"/>
  <c r="T315" i="3" s="1"/>
  <c r="D315" i="3"/>
  <c r="O314" i="3"/>
  <c r="T314" i="3" s="1"/>
  <c r="D314" i="3"/>
  <c r="O313" i="3"/>
  <c r="T313" i="3" s="1"/>
  <c r="D313" i="3"/>
  <c r="O312" i="3"/>
  <c r="T312" i="3" s="1"/>
  <c r="D312" i="3"/>
  <c r="O311" i="3"/>
  <c r="T311" i="3" s="1"/>
  <c r="D311" i="3"/>
  <c r="O310" i="3"/>
  <c r="T310" i="3" s="1"/>
  <c r="D310" i="3"/>
  <c r="O309" i="3"/>
  <c r="T309" i="3" s="1"/>
  <c r="D309" i="3"/>
  <c r="O308" i="3"/>
  <c r="T308" i="3" s="1"/>
  <c r="D308" i="3"/>
  <c r="O307" i="3"/>
  <c r="T307" i="3" s="1"/>
  <c r="D307" i="3"/>
  <c r="O306" i="3"/>
  <c r="T306" i="3" s="1"/>
  <c r="D306" i="3"/>
  <c r="O305" i="3"/>
  <c r="T305" i="3" s="1"/>
  <c r="D305" i="3"/>
  <c r="O304" i="3"/>
  <c r="T304" i="3" s="1"/>
  <c r="D304" i="3"/>
  <c r="O303" i="3"/>
  <c r="T303" i="3" s="1"/>
  <c r="D303" i="3"/>
  <c r="O302" i="3"/>
  <c r="T302" i="3" s="1"/>
  <c r="D302" i="3"/>
  <c r="O301" i="3"/>
  <c r="T301" i="3" s="1"/>
  <c r="D301" i="3"/>
  <c r="O300" i="3"/>
  <c r="T300" i="3" s="1"/>
  <c r="D300" i="3"/>
  <c r="O299" i="3"/>
  <c r="T299" i="3" s="1"/>
  <c r="D299" i="3"/>
  <c r="O298" i="3"/>
  <c r="T298" i="3" s="1"/>
  <c r="D298" i="3"/>
  <c r="O297" i="3"/>
  <c r="T297" i="3" s="1"/>
  <c r="D297" i="3"/>
  <c r="O296" i="3"/>
  <c r="T296" i="3" s="1"/>
  <c r="D296" i="3"/>
  <c r="O295" i="3"/>
  <c r="T295" i="3" s="1"/>
  <c r="D295" i="3"/>
  <c r="O294" i="3"/>
  <c r="T294" i="3" s="1"/>
  <c r="D294" i="3"/>
  <c r="O293" i="3"/>
  <c r="T293" i="3" s="1"/>
  <c r="D293" i="3"/>
  <c r="O292" i="3"/>
  <c r="T292" i="3" s="1"/>
  <c r="D292" i="3"/>
  <c r="O291" i="3"/>
  <c r="T291" i="3" s="1"/>
  <c r="D291" i="3"/>
  <c r="O290" i="3"/>
  <c r="T290" i="3" s="1"/>
  <c r="D290" i="3"/>
  <c r="O289" i="3"/>
  <c r="T289" i="3" s="1"/>
  <c r="D289" i="3"/>
  <c r="O288" i="3"/>
  <c r="T288" i="3" s="1"/>
  <c r="D288" i="3"/>
  <c r="O287" i="3"/>
  <c r="T287" i="3" s="1"/>
  <c r="D287" i="3"/>
  <c r="O286" i="3"/>
  <c r="T286" i="3" s="1"/>
  <c r="D286" i="3"/>
  <c r="O285" i="3"/>
  <c r="T285" i="3" s="1"/>
  <c r="D285" i="3"/>
  <c r="O284" i="3"/>
  <c r="T284" i="3" s="1"/>
  <c r="D284" i="3"/>
  <c r="O283" i="3"/>
  <c r="T283" i="3" s="1"/>
  <c r="D283" i="3"/>
  <c r="O282" i="3"/>
  <c r="T282" i="3" s="1"/>
  <c r="D282" i="3"/>
  <c r="O281" i="3"/>
  <c r="T281" i="3" s="1"/>
  <c r="D281" i="3"/>
  <c r="O280" i="3"/>
  <c r="T280" i="3" s="1"/>
  <c r="D280" i="3"/>
  <c r="O279" i="3"/>
  <c r="T279" i="3" s="1"/>
  <c r="D279" i="3"/>
  <c r="O278" i="3"/>
  <c r="T278" i="3" s="1"/>
  <c r="D278" i="3"/>
  <c r="O277" i="3"/>
  <c r="T277" i="3" s="1"/>
  <c r="D277" i="3"/>
  <c r="O276" i="3"/>
  <c r="T276" i="3" s="1"/>
  <c r="D276" i="3"/>
  <c r="O275" i="3"/>
  <c r="T275" i="3" s="1"/>
  <c r="D275" i="3"/>
  <c r="O274" i="3"/>
  <c r="T274" i="3" s="1"/>
  <c r="D274" i="3"/>
  <c r="O273" i="3"/>
  <c r="T273" i="3" s="1"/>
  <c r="D273" i="3"/>
  <c r="O272" i="3"/>
  <c r="T272" i="3" s="1"/>
  <c r="D272" i="3"/>
  <c r="O271" i="3"/>
  <c r="T271" i="3" s="1"/>
  <c r="D271" i="3"/>
  <c r="O270" i="3"/>
  <c r="T270" i="3" s="1"/>
  <c r="D270" i="3"/>
  <c r="O269" i="3"/>
  <c r="T269" i="3" s="1"/>
  <c r="D269" i="3"/>
  <c r="O268" i="3"/>
  <c r="T268" i="3" s="1"/>
  <c r="D268" i="3"/>
  <c r="O267" i="3"/>
  <c r="T267" i="3" s="1"/>
  <c r="D267" i="3"/>
  <c r="O266" i="3"/>
  <c r="T266" i="3" s="1"/>
  <c r="D266" i="3"/>
  <c r="O265" i="3"/>
  <c r="T265" i="3" s="1"/>
  <c r="D265" i="3"/>
  <c r="O264" i="3"/>
  <c r="T264" i="3" s="1"/>
  <c r="D264" i="3"/>
  <c r="O263" i="3"/>
  <c r="T263" i="3" s="1"/>
  <c r="D263" i="3"/>
  <c r="O262" i="3"/>
  <c r="T262" i="3" s="1"/>
  <c r="D262" i="3"/>
  <c r="O261" i="3"/>
  <c r="T261" i="3" s="1"/>
  <c r="D261" i="3"/>
  <c r="O260" i="3"/>
  <c r="T260" i="3" s="1"/>
  <c r="D260" i="3"/>
  <c r="O259" i="3"/>
  <c r="T259" i="3" s="1"/>
  <c r="D259" i="3"/>
  <c r="O258" i="3"/>
  <c r="T258" i="3" s="1"/>
  <c r="D258" i="3"/>
  <c r="O257" i="3"/>
  <c r="T257" i="3" s="1"/>
  <c r="D257" i="3"/>
  <c r="O256" i="3"/>
  <c r="T256" i="3" s="1"/>
  <c r="D256" i="3"/>
  <c r="O255" i="3"/>
  <c r="T255" i="3" s="1"/>
  <c r="D255" i="3"/>
  <c r="O254" i="3"/>
  <c r="T254" i="3" s="1"/>
  <c r="D254" i="3"/>
  <c r="O253" i="3"/>
  <c r="T253" i="3" s="1"/>
  <c r="D253" i="3"/>
  <c r="O252" i="3"/>
  <c r="T252" i="3" s="1"/>
  <c r="D252" i="3"/>
  <c r="O251" i="3"/>
  <c r="T251" i="3" s="1"/>
  <c r="D251" i="3"/>
  <c r="O250" i="3"/>
  <c r="T250" i="3" s="1"/>
  <c r="D250" i="3"/>
  <c r="O249" i="3"/>
  <c r="T249" i="3" s="1"/>
  <c r="D249" i="3"/>
  <c r="O248" i="3"/>
  <c r="T248" i="3" s="1"/>
  <c r="D248" i="3"/>
  <c r="O247" i="3"/>
  <c r="T247" i="3" s="1"/>
  <c r="D247" i="3"/>
  <c r="O246" i="3"/>
  <c r="T246" i="3" s="1"/>
  <c r="D246" i="3"/>
  <c r="O245" i="3"/>
  <c r="T245" i="3" s="1"/>
  <c r="D245" i="3"/>
  <c r="O244" i="3"/>
  <c r="T244" i="3" s="1"/>
  <c r="D244" i="3"/>
  <c r="O243" i="3"/>
  <c r="T243" i="3" s="1"/>
  <c r="D243" i="3"/>
  <c r="O242" i="3"/>
  <c r="T242" i="3" s="1"/>
  <c r="D242" i="3"/>
  <c r="O241" i="3"/>
  <c r="T241" i="3" s="1"/>
  <c r="D241" i="3"/>
  <c r="O240" i="3"/>
  <c r="T240" i="3" s="1"/>
  <c r="D240" i="3"/>
  <c r="O239" i="3"/>
  <c r="T239" i="3" s="1"/>
  <c r="D239" i="3"/>
  <c r="O238" i="3"/>
  <c r="T238" i="3" s="1"/>
  <c r="D238" i="3"/>
  <c r="O237" i="3"/>
  <c r="T237" i="3" s="1"/>
  <c r="D237" i="3"/>
  <c r="O236" i="3"/>
  <c r="T236" i="3" s="1"/>
  <c r="D236" i="3"/>
  <c r="O235" i="3"/>
  <c r="T235" i="3" s="1"/>
  <c r="D235" i="3"/>
  <c r="O234" i="3"/>
  <c r="T234" i="3" s="1"/>
  <c r="D234" i="3"/>
  <c r="O233" i="3"/>
  <c r="T233" i="3" s="1"/>
  <c r="D233" i="3"/>
  <c r="O232" i="3"/>
  <c r="T232" i="3" s="1"/>
  <c r="D232" i="3"/>
  <c r="O231" i="3"/>
  <c r="T231" i="3" s="1"/>
  <c r="D231" i="3"/>
  <c r="O230" i="3"/>
  <c r="T230" i="3" s="1"/>
  <c r="D230" i="3"/>
  <c r="O229" i="3"/>
  <c r="T229" i="3" s="1"/>
  <c r="D229" i="3"/>
  <c r="O228" i="3"/>
  <c r="T228" i="3" s="1"/>
  <c r="D228" i="3"/>
  <c r="O227" i="3"/>
  <c r="T227" i="3" s="1"/>
  <c r="D227" i="3"/>
  <c r="O226" i="3"/>
  <c r="T226" i="3" s="1"/>
  <c r="D226" i="3"/>
  <c r="O225" i="3"/>
  <c r="T225" i="3" s="1"/>
  <c r="D225" i="3"/>
  <c r="O224" i="3"/>
  <c r="T224" i="3" s="1"/>
  <c r="D224" i="3"/>
  <c r="O223" i="3"/>
  <c r="T223" i="3" s="1"/>
  <c r="D223" i="3"/>
  <c r="O222" i="3"/>
  <c r="T222" i="3" s="1"/>
  <c r="D222" i="3"/>
  <c r="O221" i="3"/>
  <c r="T221" i="3" s="1"/>
  <c r="D221" i="3"/>
  <c r="O220" i="3"/>
  <c r="T220" i="3" s="1"/>
  <c r="D220" i="3"/>
  <c r="O219" i="3"/>
  <c r="T219" i="3" s="1"/>
  <c r="D219" i="3"/>
  <c r="O218" i="3"/>
  <c r="T218" i="3" s="1"/>
  <c r="D218" i="3"/>
  <c r="O217" i="3"/>
  <c r="T217" i="3" s="1"/>
  <c r="D217" i="3"/>
  <c r="O216" i="3"/>
  <c r="T216" i="3" s="1"/>
  <c r="D216" i="3"/>
  <c r="O215" i="3"/>
  <c r="T215" i="3" s="1"/>
  <c r="D215" i="3"/>
  <c r="O214" i="3"/>
  <c r="T214" i="3" s="1"/>
  <c r="D214" i="3"/>
  <c r="O213" i="3"/>
  <c r="T213" i="3" s="1"/>
  <c r="D213" i="3"/>
  <c r="O212" i="3"/>
  <c r="T212" i="3" s="1"/>
  <c r="D212" i="3"/>
  <c r="O211" i="3"/>
  <c r="T211" i="3" s="1"/>
  <c r="D211" i="3"/>
  <c r="O210" i="3"/>
  <c r="T210" i="3" s="1"/>
  <c r="D210" i="3"/>
  <c r="O209" i="3"/>
  <c r="T209" i="3" s="1"/>
  <c r="D209" i="3"/>
  <c r="O208" i="3"/>
  <c r="T208" i="3" s="1"/>
  <c r="D208" i="3"/>
  <c r="O207" i="3"/>
  <c r="T207" i="3" s="1"/>
  <c r="D207" i="3"/>
  <c r="O206" i="3"/>
  <c r="T206" i="3" s="1"/>
  <c r="D206" i="3"/>
  <c r="O205" i="3"/>
  <c r="T205" i="3" s="1"/>
  <c r="D205" i="3"/>
  <c r="O204" i="3"/>
  <c r="T204" i="3" s="1"/>
  <c r="D204" i="3"/>
  <c r="O203" i="3"/>
  <c r="T203" i="3" s="1"/>
  <c r="D203" i="3"/>
  <c r="O202" i="3"/>
  <c r="T202" i="3" s="1"/>
  <c r="D202" i="3"/>
  <c r="O201" i="3"/>
  <c r="T201" i="3" s="1"/>
  <c r="D201" i="3"/>
  <c r="O200" i="3"/>
  <c r="T200" i="3" s="1"/>
  <c r="D200" i="3"/>
  <c r="O199" i="3"/>
  <c r="T199" i="3" s="1"/>
  <c r="D199" i="3"/>
  <c r="O198" i="3"/>
  <c r="T198" i="3" s="1"/>
  <c r="D198" i="3"/>
  <c r="O197" i="3"/>
  <c r="T197" i="3" s="1"/>
  <c r="D197" i="3"/>
  <c r="O196" i="3"/>
  <c r="T196" i="3" s="1"/>
  <c r="D196" i="3"/>
  <c r="O195" i="3"/>
  <c r="T195" i="3" s="1"/>
  <c r="D195" i="3"/>
  <c r="O194" i="3"/>
  <c r="T194" i="3" s="1"/>
  <c r="D194" i="3"/>
  <c r="O193" i="3"/>
  <c r="T193" i="3" s="1"/>
  <c r="D193" i="3"/>
  <c r="O192" i="3"/>
  <c r="T192" i="3" s="1"/>
  <c r="D192" i="3"/>
  <c r="O191" i="3"/>
  <c r="T191" i="3" s="1"/>
  <c r="D191" i="3"/>
  <c r="O190" i="3"/>
  <c r="T190" i="3" s="1"/>
  <c r="D190" i="3"/>
  <c r="O189" i="3"/>
  <c r="T189" i="3" s="1"/>
  <c r="D189" i="3"/>
  <c r="O188" i="3"/>
  <c r="T188" i="3" s="1"/>
  <c r="D188" i="3"/>
  <c r="O187" i="3"/>
  <c r="T187" i="3" s="1"/>
  <c r="D187" i="3"/>
  <c r="O186" i="3"/>
  <c r="T186" i="3" s="1"/>
  <c r="D186" i="3"/>
  <c r="O185" i="3"/>
  <c r="T185" i="3" s="1"/>
  <c r="D185" i="3"/>
  <c r="O184" i="3"/>
  <c r="T184" i="3" s="1"/>
  <c r="D184" i="3"/>
  <c r="O183" i="3"/>
  <c r="T183" i="3" s="1"/>
  <c r="D183" i="3"/>
  <c r="O182" i="3"/>
  <c r="T182" i="3" s="1"/>
  <c r="D182" i="3"/>
  <c r="O181" i="3"/>
  <c r="T181" i="3" s="1"/>
  <c r="D181" i="3"/>
  <c r="O180" i="3"/>
  <c r="T180" i="3" s="1"/>
  <c r="D180" i="3"/>
  <c r="O179" i="3"/>
  <c r="T179" i="3" s="1"/>
  <c r="D179" i="3"/>
  <c r="O178" i="3"/>
  <c r="T178" i="3" s="1"/>
  <c r="D178" i="3"/>
  <c r="O177" i="3"/>
  <c r="T177" i="3" s="1"/>
  <c r="D177" i="3"/>
  <c r="O176" i="3"/>
  <c r="T176" i="3" s="1"/>
  <c r="D176" i="3"/>
  <c r="O175" i="3"/>
  <c r="T175" i="3" s="1"/>
  <c r="D175" i="3"/>
  <c r="O174" i="3"/>
  <c r="T174" i="3" s="1"/>
  <c r="D174" i="3"/>
  <c r="O173" i="3"/>
  <c r="T173" i="3" s="1"/>
  <c r="D173" i="3"/>
  <c r="O172" i="3"/>
  <c r="T172" i="3" s="1"/>
  <c r="D172" i="3"/>
  <c r="O171" i="3"/>
  <c r="T171" i="3" s="1"/>
  <c r="D171" i="3"/>
  <c r="O170" i="3"/>
  <c r="T170" i="3" s="1"/>
  <c r="D170" i="3"/>
  <c r="O169" i="3"/>
  <c r="T169" i="3" s="1"/>
  <c r="D169" i="3"/>
  <c r="O168" i="3"/>
  <c r="T168" i="3" s="1"/>
  <c r="D168" i="3"/>
  <c r="O167" i="3"/>
  <c r="T167" i="3" s="1"/>
  <c r="D167" i="3"/>
  <c r="O166" i="3"/>
  <c r="T166" i="3" s="1"/>
  <c r="D166" i="3"/>
  <c r="O165" i="3"/>
  <c r="T165" i="3" s="1"/>
  <c r="D165" i="3"/>
  <c r="O164" i="3"/>
  <c r="T164" i="3" s="1"/>
  <c r="D164" i="3"/>
  <c r="O163" i="3"/>
  <c r="T163" i="3" s="1"/>
  <c r="D163" i="3"/>
  <c r="O162" i="3"/>
  <c r="T162" i="3" s="1"/>
  <c r="D162" i="3"/>
  <c r="O161" i="3"/>
  <c r="T161" i="3" s="1"/>
  <c r="D161" i="3"/>
  <c r="O160" i="3"/>
  <c r="T160" i="3" s="1"/>
  <c r="D160" i="3"/>
  <c r="O159" i="3"/>
  <c r="T159" i="3" s="1"/>
  <c r="D159" i="3"/>
  <c r="O158" i="3"/>
  <c r="T158" i="3" s="1"/>
  <c r="D158" i="3"/>
  <c r="O157" i="3"/>
  <c r="T157" i="3" s="1"/>
  <c r="D157" i="3"/>
  <c r="O156" i="3"/>
  <c r="T156" i="3" s="1"/>
  <c r="D156" i="3"/>
  <c r="O155" i="3"/>
  <c r="T155" i="3" s="1"/>
  <c r="D155" i="3"/>
  <c r="O154" i="3"/>
  <c r="T154" i="3" s="1"/>
  <c r="D154" i="3"/>
  <c r="O153" i="3"/>
  <c r="T153" i="3" s="1"/>
  <c r="D153" i="3"/>
  <c r="O152" i="3"/>
  <c r="T152" i="3" s="1"/>
  <c r="D152" i="3"/>
  <c r="O151" i="3"/>
  <c r="T151" i="3" s="1"/>
  <c r="D151" i="3"/>
  <c r="O150" i="3"/>
  <c r="T150" i="3" s="1"/>
  <c r="D150" i="3"/>
  <c r="O149" i="3"/>
  <c r="T149" i="3" s="1"/>
  <c r="D149" i="3"/>
  <c r="O148" i="3"/>
  <c r="T148" i="3" s="1"/>
  <c r="D148" i="3"/>
  <c r="O147" i="3"/>
  <c r="T147" i="3" s="1"/>
  <c r="D147" i="3"/>
  <c r="O146" i="3"/>
  <c r="T146" i="3" s="1"/>
  <c r="D146" i="3"/>
  <c r="O145" i="3"/>
  <c r="T145" i="3" s="1"/>
  <c r="D145" i="3"/>
  <c r="O144" i="3"/>
  <c r="T144" i="3" s="1"/>
  <c r="D144" i="3"/>
  <c r="O143" i="3"/>
  <c r="T143" i="3" s="1"/>
  <c r="D143" i="3"/>
  <c r="O142" i="3"/>
  <c r="T142" i="3" s="1"/>
  <c r="D142" i="3"/>
  <c r="O141" i="3"/>
  <c r="T141" i="3" s="1"/>
  <c r="D141" i="3"/>
  <c r="O140" i="3"/>
  <c r="T140" i="3" s="1"/>
  <c r="D140" i="3"/>
  <c r="O139" i="3"/>
  <c r="T139" i="3" s="1"/>
  <c r="D139" i="3"/>
  <c r="O138" i="3"/>
  <c r="T138" i="3" s="1"/>
  <c r="D138" i="3"/>
  <c r="O137" i="3"/>
  <c r="T137" i="3" s="1"/>
  <c r="D137" i="3"/>
  <c r="O136" i="3"/>
  <c r="T136" i="3" s="1"/>
  <c r="D136" i="3"/>
  <c r="O135" i="3"/>
  <c r="T135" i="3" s="1"/>
  <c r="D135" i="3"/>
  <c r="O134" i="3"/>
  <c r="T134" i="3" s="1"/>
  <c r="D134" i="3"/>
  <c r="O133" i="3"/>
  <c r="T133" i="3" s="1"/>
  <c r="D133" i="3"/>
  <c r="O132" i="3"/>
  <c r="T132" i="3" s="1"/>
  <c r="D132" i="3"/>
  <c r="O131" i="3"/>
  <c r="T131" i="3" s="1"/>
  <c r="D131" i="3"/>
  <c r="O130" i="3"/>
  <c r="T130" i="3" s="1"/>
  <c r="D130" i="3"/>
  <c r="O129" i="3"/>
  <c r="T129" i="3" s="1"/>
  <c r="D129" i="3"/>
  <c r="O128" i="3"/>
  <c r="T128" i="3" s="1"/>
  <c r="D128" i="3"/>
  <c r="O127" i="3"/>
  <c r="T127" i="3" s="1"/>
  <c r="D127" i="3"/>
  <c r="O126" i="3"/>
  <c r="T126" i="3" s="1"/>
  <c r="D126" i="3"/>
  <c r="O125" i="3"/>
  <c r="T125" i="3" s="1"/>
  <c r="D125" i="3"/>
  <c r="O124" i="3"/>
  <c r="T124" i="3" s="1"/>
  <c r="D124" i="3"/>
  <c r="O123" i="3"/>
  <c r="T123" i="3" s="1"/>
  <c r="D123" i="3"/>
  <c r="O122" i="3"/>
  <c r="T122" i="3" s="1"/>
  <c r="D122" i="3"/>
  <c r="O121" i="3"/>
  <c r="T121" i="3" s="1"/>
  <c r="D121" i="3"/>
  <c r="O120" i="3"/>
  <c r="T120" i="3" s="1"/>
  <c r="D120" i="3"/>
  <c r="O119" i="3"/>
  <c r="T119" i="3" s="1"/>
  <c r="D119" i="3"/>
  <c r="O118" i="3"/>
  <c r="T118" i="3" s="1"/>
  <c r="D118" i="3"/>
  <c r="O117" i="3"/>
  <c r="T117" i="3" s="1"/>
  <c r="D117" i="3"/>
  <c r="O116" i="3"/>
  <c r="T116" i="3" s="1"/>
  <c r="D116" i="3"/>
  <c r="O115" i="3"/>
  <c r="T115" i="3" s="1"/>
  <c r="D115" i="3"/>
  <c r="O114" i="3"/>
  <c r="T114" i="3" s="1"/>
  <c r="D114" i="3"/>
  <c r="O113" i="3"/>
  <c r="T113" i="3" s="1"/>
  <c r="D113" i="3"/>
  <c r="O112" i="3"/>
  <c r="T112" i="3" s="1"/>
  <c r="D112" i="3"/>
  <c r="O111" i="3"/>
  <c r="T111" i="3" s="1"/>
  <c r="D111" i="3"/>
  <c r="O110" i="3"/>
  <c r="T110" i="3" s="1"/>
  <c r="D110" i="3"/>
  <c r="O109" i="3"/>
  <c r="T109" i="3" s="1"/>
  <c r="D109" i="3"/>
  <c r="O108" i="3"/>
  <c r="T108" i="3" s="1"/>
  <c r="D108" i="3"/>
  <c r="O107" i="3"/>
  <c r="T107" i="3" s="1"/>
  <c r="D107" i="3"/>
  <c r="O106" i="3"/>
  <c r="T106" i="3" s="1"/>
  <c r="D106" i="3"/>
  <c r="O105" i="3"/>
  <c r="T105" i="3" s="1"/>
  <c r="D105" i="3"/>
  <c r="O104" i="3"/>
  <c r="T104" i="3" s="1"/>
  <c r="D104" i="3"/>
  <c r="O103" i="3"/>
  <c r="T103" i="3" s="1"/>
  <c r="D103" i="3"/>
  <c r="O102" i="3"/>
  <c r="T102" i="3" s="1"/>
  <c r="D102" i="3"/>
  <c r="O101" i="3"/>
  <c r="T101" i="3" s="1"/>
  <c r="D101" i="3"/>
  <c r="O100" i="3"/>
  <c r="T100" i="3" s="1"/>
  <c r="D100" i="3"/>
  <c r="O99" i="3"/>
  <c r="T99" i="3" s="1"/>
  <c r="D99" i="3"/>
  <c r="O98" i="3"/>
  <c r="T98" i="3" s="1"/>
  <c r="D98" i="3"/>
  <c r="O97" i="3"/>
  <c r="T97" i="3" s="1"/>
  <c r="D97" i="3"/>
  <c r="O96" i="3"/>
  <c r="T96" i="3" s="1"/>
  <c r="D96" i="3"/>
  <c r="O95" i="3"/>
  <c r="T95" i="3" s="1"/>
  <c r="D95" i="3"/>
  <c r="O94" i="3"/>
  <c r="T94" i="3" s="1"/>
  <c r="D94" i="3"/>
  <c r="O93" i="3"/>
  <c r="T93" i="3" s="1"/>
  <c r="D93" i="3"/>
  <c r="O92" i="3"/>
  <c r="T92" i="3" s="1"/>
  <c r="D92" i="3"/>
  <c r="O91" i="3"/>
  <c r="T91" i="3" s="1"/>
  <c r="D91" i="3"/>
  <c r="O90" i="3"/>
  <c r="T90" i="3" s="1"/>
  <c r="D90" i="3"/>
  <c r="O89" i="3"/>
  <c r="T89" i="3" s="1"/>
  <c r="D89" i="3"/>
  <c r="O88" i="3"/>
  <c r="T88" i="3" s="1"/>
  <c r="D88" i="3"/>
  <c r="O87" i="3"/>
  <c r="T87" i="3" s="1"/>
  <c r="D87" i="3"/>
  <c r="O86" i="3"/>
  <c r="T86" i="3" s="1"/>
  <c r="D86" i="3"/>
  <c r="O85" i="3"/>
  <c r="T85" i="3" s="1"/>
  <c r="D85" i="3"/>
  <c r="O84" i="3"/>
  <c r="T84" i="3" s="1"/>
  <c r="D84" i="3"/>
  <c r="O83" i="3"/>
  <c r="T83" i="3" s="1"/>
  <c r="D83" i="3"/>
  <c r="O82" i="3"/>
  <c r="T82" i="3" s="1"/>
  <c r="D82" i="3"/>
  <c r="O81" i="3"/>
  <c r="T81" i="3" s="1"/>
  <c r="D81" i="3"/>
  <c r="O80" i="3"/>
  <c r="T80" i="3" s="1"/>
  <c r="D80" i="3"/>
  <c r="O79" i="3"/>
  <c r="T79" i="3" s="1"/>
  <c r="D79" i="3"/>
  <c r="O78" i="3"/>
  <c r="T78" i="3" s="1"/>
  <c r="D78" i="3"/>
  <c r="O77" i="3"/>
  <c r="T77" i="3" s="1"/>
  <c r="D77" i="3"/>
  <c r="O76" i="3"/>
  <c r="T76" i="3" s="1"/>
  <c r="D76" i="3"/>
  <c r="O75" i="3"/>
  <c r="T75" i="3" s="1"/>
  <c r="D75" i="3"/>
  <c r="O74" i="3"/>
  <c r="T74" i="3" s="1"/>
  <c r="D74" i="3"/>
  <c r="O73" i="3"/>
  <c r="T73" i="3" s="1"/>
  <c r="D73" i="3"/>
  <c r="O72" i="3"/>
  <c r="T72" i="3" s="1"/>
  <c r="D72" i="3"/>
  <c r="O71" i="3"/>
  <c r="T71" i="3" s="1"/>
  <c r="D71" i="3"/>
  <c r="O70" i="3"/>
  <c r="T70" i="3" s="1"/>
  <c r="D70" i="3"/>
  <c r="O69" i="3"/>
  <c r="T69" i="3" s="1"/>
  <c r="D69" i="3"/>
  <c r="O68" i="3"/>
  <c r="T68" i="3" s="1"/>
  <c r="D68" i="3"/>
  <c r="O67" i="3"/>
  <c r="T67" i="3" s="1"/>
  <c r="D67" i="3"/>
  <c r="O66" i="3"/>
  <c r="T66" i="3" s="1"/>
  <c r="D66" i="3"/>
  <c r="O65" i="3"/>
  <c r="T65" i="3" s="1"/>
  <c r="D65" i="3"/>
  <c r="O64" i="3"/>
  <c r="T64" i="3" s="1"/>
  <c r="D64" i="3"/>
  <c r="O63" i="3"/>
  <c r="T63" i="3" s="1"/>
  <c r="D63" i="3"/>
  <c r="O62" i="3"/>
  <c r="T62" i="3" s="1"/>
  <c r="D62" i="3"/>
  <c r="O61" i="3"/>
  <c r="T61" i="3" s="1"/>
  <c r="D61" i="3"/>
  <c r="O60" i="3"/>
  <c r="T60" i="3" s="1"/>
  <c r="D60" i="3"/>
  <c r="O59" i="3"/>
  <c r="T59" i="3" s="1"/>
  <c r="D59" i="3"/>
  <c r="O58" i="3"/>
  <c r="T58" i="3" s="1"/>
  <c r="D58" i="3"/>
  <c r="O57" i="3"/>
  <c r="T57" i="3" s="1"/>
  <c r="D57" i="3"/>
  <c r="O56" i="3"/>
  <c r="T56" i="3" s="1"/>
  <c r="D56" i="3"/>
  <c r="O55" i="3"/>
  <c r="T55" i="3" s="1"/>
  <c r="D55" i="3"/>
  <c r="O54" i="3"/>
  <c r="T54" i="3" s="1"/>
  <c r="D54" i="3"/>
  <c r="O53" i="3"/>
  <c r="T53" i="3" s="1"/>
  <c r="D53" i="3"/>
  <c r="O52" i="3"/>
  <c r="T52" i="3" s="1"/>
  <c r="D52" i="3"/>
  <c r="O51" i="3"/>
  <c r="T51" i="3" s="1"/>
  <c r="D51" i="3"/>
  <c r="O50" i="3"/>
  <c r="T50" i="3" s="1"/>
  <c r="D50" i="3"/>
  <c r="O49" i="3"/>
  <c r="T49" i="3" s="1"/>
  <c r="D49" i="3"/>
  <c r="O48" i="3"/>
  <c r="T48" i="3" s="1"/>
  <c r="D48" i="3"/>
  <c r="O47" i="3"/>
  <c r="T47" i="3" s="1"/>
  <c r="D47" i="3"/>
  <c r="O46" i="3"/>
  <c r="T46" i="3" s="1"/>
  <c r="D46" i="3"/>
  <c r="O45" i="3"/>
  <c r="T45" i="3" s="1"/>
  <c r="D45" i="3"/>
  <c r="O44" i="3"/>
  <c r="T44" i="3" s="1"/>
  <c r="D44" i="3"/>
  <c r="O43" i="3"/>
  <c r="T43" i="3" s="1"/>
  <c r="D43" i="3"/>
  <c r="O42" i="3"/>
  <c r="T42" i="3" s="1"/>
  <c r="D42" i="3"/>
  <c r="O41" i="3"/>
  <c r="T41" i="3" s="1"/>
  <c r="D41" i="3"/>
  <c r="O40" i="3"/>
  <c r="T40" i="3" s="1"/>
  <c r="D40" i="3"/>
  <c r="O39" i="3"/>
  <c r="T39" i="3" s="1"/>
  <c r="D39" i="3"/>
  <c r="O38" i="3"/>
  <c r="T38" i="3" s="1"/>
  <c r="D38" i="3"/>
  <c r="O37" i="3"/>
  <c r="T37" i="3" s="1"/>
  <c r="D37" i="3"/>
  <c r="O36" i="3"/>
  <c r="T36" i="3" s="1"/>
  <c r="D36" i="3"/>
  <c r="O35" i="3"/>
  <c r="T35" i="3" s="1"/>
  <c r="D35" i="3"/>
  <c r="O34" i="3"/>
  <c r="T34" i="3" s="1"/>
  <c r="D34" i="3"/>
  <c r="O33" i="3"/>
  <c r="T33" i="3" s="1"/>
  <c r="D33" i="3"/>
  <c r="O32" i="3"/>
  <c r="T32" i="3" s="1"/>
  <c r="D32" i="3"/>
  <c r="O31" i="3"/>
  <c r="T31" i="3" s="1"/>
  <c r="D31" i="3"/>
  <c r="O30" i="3"/>
  <c r="T30" i="3" s="1"/>
  <c r="D30" i="3"/>
  <c r="O29" i="3"/>
  <c r="T29" i="3" s="1"/>
  <c r="D29" i="3"/>
  <c r="O28" i="3"/>
  <c r="T28" i="3" s="1"/>
  <c r="D28" i="3"/>
  <c r="O27" i="3"/>
  <c r="T27" i="3" s="1"/>
  <c r="D27" i="3"/>
  <c r="O26" i="3"/>
  <c r="T26" i="3" s="1"/>
  <c r="D26" i="3"/>
  <c r="O25" i="3"/>
  <c r="T25" i="3" s="1"/>
  <c r="D25" i="3"/>
  <c r="O24" i="3"/>
  <c r="T24" i="3" s="1"/>
  <c r="D24" i="3"/>
  <c r="O23" i="3"/>
  <c r="T23" i="3" s="1"/>
  <c r="D23" i="3"/>
  <c r="O22" i="3"/>
  <c r="T22" i="3" s="1"/>
  <c r="D22" i="3"/>
  <c r="O21" i="3"/>
  <c r="T21" i="3" s="1"/>
  <c r="D21" i="3"/>
  <c r="O20" i="3"/>
  <c r="T20" i="3" s="1"/>
  <c r="D20" i="3"/>
  <c r="O19" i="3"/>
  <c r="T19" i="3" s="1"/>
  <c r="D19" i="3"/>
  <c r="O18" i="3"/>
  <c r="T18" i="3" s="1"/>
  <c r="D18" i="3"/>
  <c r="O17" i="3"/>
  <c r="T17" i="3" s="1"/>
  <c r="D17" i="3"/>
  <c r="O16" i="3"/>
  <c r="T16" i="3" s="1"/>
  <c r="D16" i="3"/>
  <c r="O15" i="3"/>
  <c r="T15" i="3" s="1"/>
  <c r="D15" i="3"/>
  <c r="O14" i="3"/>
  <c r="T14" i="3" s="1"/>
  <c r="D14" i="3"/>
  <c r="O13" i="3"/>
  <c r="T13" i="3" s="1"/>
  <c r="D13" i="3"/>
  <c r="O12" i="3"/>
  <c r="T12" i="3" s="1"/>
  <c r="D12" i="3"/>
  <c r="O11" i="3"/>
  <c r="T11" i="3" s="1"/>
  <c r="D11" i="3"/>
  <c r="O10" i="3"/>
  <c r="T10" i="3" s="1"/>
  <c r="D10" i="3"/>
  <c r="O9" i="3"/>
  <c r="T9" i="3" s="1"/>
  <c r="D9" i="3"/>
  <c r="O8" i="3"/>
  <c r="T8" i="3" s="1"/>
  <c r="D8" i="3"/>
  <c r="O7" i="3"/>
  <c r="T7" i="3" s="1"/>
  <c r="D7" i="3"/>
  <c r="O6" i="3"/>
  <c r="T6" i="3" s="1"/>
  <c r="D6" i="3"/>
  <c r="O5" i="3"/>
  <c r="T5" i="3" s="1"/>
  <c r="D5" i="3"/>
  <c r="O4" i="3"/>
  <c r="T4" i="3" s="1"/>
  <c r="D4" i="3"/>
  <c r="N2" i="3"/>
  <c r="M2" i="3"/>
  <c r="L2" i="3"/>
  <c r="K2" i="3"/>
  <c r="J2" i="3"/>
  <c r="I2" i="3"/>
  <c r="H2" i="3"/>
  <c r="G2" i="3"/>
  <c r="D11" i="2"/>
  <c r="D10" i="2"/>
  <c r="D9" i="2"/>
  <c r="D8" i="2"/>
  <c r="D7" i="2"/>
  <c r="D6" i="2"/>
  <c r="D5" i="2"/>
  <c r="D4" i="2"/>
  <c r="G8" i="1"/>
  <c r="J7" i="1"/>
  <c r="G6" i="1"/>
  <c r="G5" i="1"/>
  <c r="Q747" i="3" l="1"/>
  <c r="R747" i="3" s="1"/>
  <c r="S747" i="3" s="1"/>
  <c r="Q746" i="3"/>
  <c r="R746" i="3" s="1"/>
  <c r="S746" i="3" s="1"/>
  <c r="Q745" i="3"/>
  <c r="R745" i="3" s="1"/>
  <c r="S745" i="3" s="1"/>
  <c r="Q744" i="3"/>
  <c r="R744" i="3" s="1"/>
  <c r="S744" i="3" s="1"/>
  <c r="Q743" i="3"/>
  <c r="R743" i="3" s="1"/>
  <c r="S743" i="3" s="1"/>
  <c r="Q742" i="3"/>
  <c r="R742" i="3" s="1"/>
  <c r="S742" i="3" s="1"/>
  <c r="Q741" i="3"/>
  <c r="R741" i="3" s="1"/>
  <c r="S741" i="3" s="1"/>
  <c r="Q740" i="3"/>
  <c r="R740" i="3" s="1"/>
  <c r="S740" i="3" s="1"/>
  <c r="Q739" i="3"/>
  <c r="R739" i="3" s="1"/>
  <c r="S739" i="3" s="1"/>
  <c r="Q738" i="3"/>
  <c r="R738" i="3" s="1"/>
  <c r="S738" i="3" s="1"/>
  <c r="Q737" i="3"/>
  <c r="R737" i="3" s="1"/>
  <c r="S737" i="3" s="1"/>
  <c r="Q736" i="3"/>
  <c r="R736" i="3" s="1"/>
  <c r="S736" i="3" s="1"/>
  <c r="Q735" i="3"/>
  <c r="R735" i="3" s="1"/>
  <c r="S735" i="3" s="1"/>
  <c r="Q734" i="3"/>
  <c r="R734" i="3" s="1"/>
  <c r="S734" i="3" s="1"/>
  <c r="Q733" i="3"/>
  <c r="R733" i="3" s="1"/>
  <c r="S733" i="3" s="1"/>
  <c r="Q732" i="3"/>
  <c r="R732" i="3" s="1"/>
  <c r="S732" i="3" s="1"/>
  <c r="Q731" i="3"/>
  <c r="R731" i="3" s="1"/>
  <c r="S731" i="3" s="1"/>
  <c r="Q730" i="3"/>
  <c r="R730" i="3" s="1"/>
  <c r="S730" i="3" s="1"/>
  <c r="Q729" i="3"/>
  <c r="R729" i="3" s="1"/>
  <c r="S729" i="3" s="1"/>
  <c r="Q728" i="3"/>
  <c r="R728" i="3" s="1"/>
  <c r="S728" i="3" s="1"/>
  <c r="Q727" i="3"/>
  <c r="R727" i="3" s="1"/>
  <c r="S727" i="3" s="1"/>
  <c r="Q726" i="3"/>
  <c r="R726" i="3" s="1"/>
  <c r="S726" i="3" s="1"/>
  <c r="Q725" i="3"/>
  <c r="R725" i="3" s="1"/>
  <c r="S725" i="3" s="1"/>
  <c r="Q724" i="3"/>
  <c r="R724" i="3" s="1"/>
  <c r="S724" i="3" s="1"/>
  <c r="Q723" i="3"/>
  <c r="R723" i="3" s="1"/>
  <c r="S723" i="3" s="1"/>
  <c r="Q722" i="3"/>
  <c r="R722" i="3" s="1"/>
  <c r="S722" i="3" s="1"/>
  <c r="Q721" i="3"/>
  <c r="R721" i="3" s="1"/>
  <c r="S721" i="3" s="1"/>
  <c r="Q720" i="3"/>
  <c r="R720" i="3" s="1"/>
  <c r="S720" i="3" s="1"/>
  <c r="Q719" i="3"/>
  <c r="R719" i="3" s="1"/>
  <c r="S719" i="3" s="1"/>
  <c r="Q718" i="3"/>
  <c r="R718" i="3" s="1"/>
  <c r="S718" i="3" s="1"/>
  <c r="Q717" i="3"/>
  <c r="R717" i="3" s="1"/>
  <c r="S717" i="3" s="1"/>
  <c r="Q716" i="3"/>
  <c r="R716" i="3" s="1"/>
  <c r="S716" i="3" s="1"/>
  <c r="Q715" i="3"/>
  <c r="R715" i="3" s="1"/>
  <c r="S715" i="3" s="1"/>
  <c r="Q714" i="3"/>
  <c r="R714" i="3" s="1"/>
  <c r="S714" i="3" s="1"/>
  <c r="Q713" i="3"/>
  <c r="R713" i="3" s="1"/>
  <c r="S713" i="3" s="1"/>
  <c r="Q712" i="3"/>
  <c r="R712" i="3" s="1"/>
  <c r="S712" i="3" s="1"/>
  <c r="Q711" i="3"/>
  <c r="R711" i="3" s="1"/>
  <c r="S711" i="3" s="1"/>
  <c r="Q710" i="3"/>
  <c r="R710" i="3" s="1"/>
  <c r="S710" i="3" s="1"/>
  <c r="Q709" i="3"/>
  <c r="R709" i="3" s="1"/>
  <c r="S709" i="3" s="1"/>
  <c r="Q708" i="3"/>
  <c r="R708" i="3" s="1"/>
  <c r="S708" i="3" s="1"/>
  <c r="Q707" i="3"/>
  <c r="R707" i="3" s="1"/>
  <c r="S707" i="3" s="1"/>
  <c r="Q706" i="3"/>
  <c r="R706" i="3" s="1"/>
  <c r="S706" i="3" s="1"/>
  <c r="Q705" i="3"/>
  <c r="R705" i="3" s="1"/>
  <c r="S705" i="3" s="1"/>
  <c r="Q704" i="3"/>
  <c r="R704" i="3" s="1"/>
  <c r="S704" i="3" s="1"/>
  <c r="Q703" i="3"/>
  <c r="R703" i="3" s="1"/>
  <c r="S703" i="3" s="1"/>
  <c r="Q702" i="3"/>
  <c r="R702" i="3" s="1"/>
  <c r="S702" i="3" s="1"/>
  <c r="Q701" i="3"/>
  <c r="R701" i="3" s="1"/>
  <c r="S701" i="3" s="1"/>
  <c r="Q700" i="3"/>
  <c r="R700" i="3" s="1"/>
  <c r="S700" i="3" s="1"/>
  <c r="Q699" i="3"/>
  <c r="R699" i="3" s="1"/>
  <c r="S699" i="3" s="1"/>
  <c r="Q698" i="3"/>
  <c r="R698" i="3" s="1"/>
  <c r="S698" i="3" s="1"/>
  <c r="Q697" i="3"/>
  <c r="R697" i="3" s="1"/>
  <c r="S697" i="3" s="1"/>
  <c r="Q696" i="3"/>
  <c r="R696" i="3" s="1"/>
  <c r="S696" i="3" s="1"/>
  <c r="Q695" i="3"/>
  <c r="R695" i="3" s="1"/>
  <c r="S695" i="3" s="1"/>
  <c r="Q694" i="3"/>
  <c r="R694" i="3" s="1"/>
  <c r="S694" i="3" s="1"/>
  <c r="Q693" i="3"/>
  <c r="R693" i="3" s="1"/>
  <c r="S693" i="3" s="1"/>
  <c r="Q692" i="3"/>
  <c r="R692" i="3" s="1"/>
  <c r="S692" i="3" s="1"/>
  <c r="Q691" i="3"/>
  <c r="R691" i="3" s="1"/>
  <c r="S691" i="3" s="1"/>
  <c r="Q690" i="3"/>
  <c r="R690" i="3" s="1"/>
  <c r="S690" i="3" s="1"/>
  <c r="Q689" i="3"/>
  <c r="R689" i="3" s="1"/>
  <c r="S689" i="3" s="1"/>
  <c r="Q688" i="3"/>
  <c r="R688" i="3" s="1"/>
  <c r="S688" i="3" s="1"/>
  <c r="Q687" i="3"/>
  <c r="R687" i="3" s="1"/>
  <c r="S687" i="3" s="1"/>
  <c r="Q686" i="3"/>
  <c r="R686" i="3" s="1"/>
  <c r="S686" i="3" s="1"/>
  <c r="Q685" i="3"/>
  <c r="R685" i="3" s="1"/>
  <c r="S685" i="3" s="1"/>
  <c r="Q684" i="3"/>
  <c r="R684" i="3" s="1"/>
  <c r="S684" i="3" s="1"/>
  <c r="Q683" i="3"/>
  <c r="R683" i="3" s="1"/>
  <c r="S683" i="3" s="1"/>
  <c r="Q682" i="3"/>
  <c r="R682" i="3" s="1"/>
  <c r="S682" i="3" s="1"/>
  <c r="Q681" i="3"/>
  <c r="R681" i="3" s="1"/>
  <c r="S681" i="3" s="1"/>
  <c r="Q680" i="3"/>
  <c r="R680" i="3" s="1"/>
  <c r="S680" i="3" s="1"/>
  <c r="Q679" i="3"/>
  <c r="R679" i="3" s="1"/>
  <c r="S679" i="3" s="1"/>
  <c r="Q678" i="3"/>
  <c r="R678" i="3" s="1"/>
  <c r="S678" i="3" s="1"/>
  <c r="Q677" i="3"/>
  <c r="R677" i="3" s="1"/>
  <c r="S677" i="3" s="1"/>
  <c r="Q676" i="3"/>
  <c r="R676" i="3" s="1"/>
  <c r="S676" i="3" s="1"/>
  <c r="Q675" i="3"/>
  <c r="R675" i="3" s="1"/>
  <c r="S675" i="3" s="1"/>
  <c r="Q674" i="3"/>
  <c r="R674" i="3" s="1"/>
  <c r="S674" i="3" s="1"/>
  <c r="Q673" i="3"/>
  <c r="R673" i="3" s="1"/>
  <c r="S673" i="3" s="1"/>
  <c r="Q672" i="3"/>
  <c r="R672" i="3" s="1"/>
  <c r="S672" i="3" s="1"/>
  <c r="Q671" i="3"/>
  <c r="R671" i="3" s="1"/>
  <c r="S671" i="3" s="1"/>
  <c r="Q670" i="3"/>
  <c r="R670" i="3" s="1"/>
  <c r="S670" i="3" s="1"/>
  <c r="Q669" i="3"/>
  <c r="R669" i="3" s="1"/>
  <c r="S669" i="3" s="1"/>
  <c r="Q668" i="3"/>
  <c r="R668" i="3" s="1"/>
  <c r="S668" i="3" s="1"/>
  <c r="Q667" i="3"/>
  <c r="R667" i="3" s="1"/>
  <c r="S667" i="3" s="1"/>
  <c r="Q666" i="3"/>
  <c r="R666" i="3" s="1"/>
  <c r="S666" i="3" s="1"/>
  <c r="Q665" i="3"/>
  <c r="R665" i="3" s="1"/>
  <c r="S665" i="3" s="1"/>
  <c r="Q664" i="3"/>
  <c r="R664" i="3" s="1"/>
  <c r="S664" i="3" s="1"/>
  <c r="Q663" i="3"/>
  <c r="R663" i="3" s="1"/>
  <c r="S663" i="3" s="1"/>
  <c r="Q662" i="3"/>
  <c r="R662" i="3" s="1"/>
  <c r="S662" i="3" s="1"/>
  <c r="Q661" i="3"/>
  <c r="R661" i="3" s="1"/>
  <c r="S661" i="3" s="1"/>
  <c r="Q660" i="3"/>
  <c r="R660" i="3" s="1"/>
  <c r="S660" i="3" s="1"/>
  <c r="Q659" i="3"/>
  <c r="R659" i="3" s="1"/>
  <c r="S659" i="3" s="1"/>
  <c r="Q658" i="3"/>
  <c r="R658" i="3" s="1"/>
  <c r="S658" i="3" s="1"/>
  <c r="Q657" i="3"/>
  <c r="R657" i="3" s="1"/>
  <c r="S657" i="3" s="1"/>
  <c r="Q656" i="3"/>
  <c r="R656" i="3" s="1"/>
  <c r="S656" i="3" s="1"/>
  <c r="Q655" i="3"/>
  <c r="R655" i="3" s="1"/>
  <c r="S655" i="3" s="1"/>
  <c r="Q654" i="3"/>
  <c r="R654" i="3" s="1"/>
  <c r="S654" i="3" s="1"/>
  <c r="Q653" i="3"/>
  <c r="R653" i="3" s="1"/>
  <c r="S653" i="3" s="1"/>
  <c r="Q652" i="3"/>
  <c r="R652" i="3" s="1"/>
  <c r="S652" i="3" s="1"/>
  <c r="Q651" i="3"/>
  <c r="R651" i="3" s="1"/>
  <c r="S651" i="3" s="1"/>
  <c r="Q650" i="3"/>
  <c r="R650" i="3" s="1"/>
  <c r="S650" i="3" s="1"/>
  <c r="Q649" i="3"/>
  <c r="R649" i="3" s="1"/>
  <c r="S649" i="3" s="1"/>
  <c r="Q648" i="3"/>
  <c r="R648" i="3" s="1"/>
  <c r="S648" i="3" s="1"/>
  <c r="Q647" i="3"/>
  <c r="R647" i="3" s="1"/>
  <c r="S647" i="3" s="1"/>
  <c r="Q646" i="3"/>
  <c r="R646" i="3" s="1"/>
  <c r="S646" i="3" s="1"/>
  <c r="Q645" i="3"/>
  <c r="R645" i="3" s="1"/>
  <c r="S645" i="3" s="1"/>
  <c r="Q644" i="3"/>
  <c r="R644" i="3" s="1"/>
  <c r="S644" i="3" s="1"/>
  <c r="Q643" i="3"/>
  <c r="R643" i="3" s="1"/>
  <c r="S643" i="3" s="1"/>
  <c r="Q642" i="3"/>
  <c r="R642" i="3" s="1"/>
  <c r="S642" i="3" s="1"/>
  <c r="Q641" i="3"/>
  <c r="R641" i="3" s="1"/>
  <c r="S641" i="3" s="1"/>
  <c r="Q640" i="3"/>
  <c r="R640" i="3" s="1"/>
  <c r="S640" i="3" s="1"/>
  <c r="Q639" i="3"/>
  <c r="R639" i="3" s="1"/>
  <c r="S639" i="3" s="1"/>
  <c r="Q638" i="3"/>
  <c r="R638" i="3" s="1"/>
  <c r="S638" i="3" s="1"/>
  <c r="Q637" i="3"/>
  <c r="R637" i="3" s="1"/>
  <c r="S637" i="3" s="1"/>
  <c r="Q636" i="3"/>
  <c r="R636" i="3" s="1"/>
  <c r="S636" i="3" s="1"/>
  <c r="Q635" i="3"/>
  <c r="R635" i="3" s="1"/>
  <c r="S635" i="3" s="1"/>
  <c r="Q634" i="3"/>
  <c r="R634" i="3" s="1"/>
  <c r="S634" i="3" s="1"/>
  <c r="Q633" i="3"/>
  <c r="R633" i="3" s="1"/>
  <c r="S633" i="3" s="1"/>
  <c r="Q632" i="3"/>
  <c r="R632" i="3" s="1"/>
  <c r="S632" i="3" s="1"/>
  <c r="Q631" i="3"/>
  <c r="R631" i="3" s="1"/>
  <c r="S631" i="3" s="1"/>
  <c r="Q630" i="3"/>
  <c r="R630" i="3" s="1"/>
  <c r="S630" i="3" s="1"/>
  <c r="Q629" i="3"/>
  <c r="R629" i="3" s="1"/>
  <c r="S629" i="3" s="1"/>
  <c r="Q628" i="3"/>
  <c r="R628" i="3" s="1"/>
  <c r="S628" i="3" s="1"/>
  <c r="Q627" i="3"/>
  <c r="R627" i="3" s="1"/>
  <c r="S627" i="3" s="1"/>
  <c r="Q626" i="3"/>
  <c r="R626" i="3" s="1"/>
  <c r="S626" i="3" s="1"/>
  <c r="Q625" i="3"/>
  <c r="R625" i="3" s="1"/>
  <c r="S625" i="3" s="1"/>
  <c r="Q624" i="3"/>
  <c r="R624" i="3" s="1"/>
  <c r="S624" i="3" s="1"/>
  <c r="Q623" i="3"/>
  <c r="R623" i="3" s="1"/>
  <c r="S623" i="3" s="1"/>
  <c r="Q622" i="3"/>
  <c r="R622" i="3" s="1"/>
  <c r="S622" i="3" s="1"/>
  <c r="Q621" i="3"/>
  <c r="R621" i="3" s="1"/>
  <c r="S621" i="3" s="1"/>
  <c r="Q620" i="3"/>
  <c r="R620" i="3" s="1"/>
  <c r="S620" i="3" s="1"/>
  <c r="Q619" i="3"/>
  <c r="R619" i="3" s="1"/>
  <c r="S619" i="3" s="1"/>
  <c r="Q618" i="3"/>
  <c r="R618" i="3" s="1"/>
  <c r="S618" i="3" s="1"/>
  <c r="Q617" i="3"/>
  <c r="R617" i="3" s="1"/>
  <c r="S617" i="3" s="1"/>
  <c r="Q616" i="3"/>
  <c r="R616" i="3" s="1"/>
  <c r="S616" i="3" s="1"/>
  <c r="Q615" i="3"/>
  <c r="R615" i="3" s="1"/>
  <c r="S615" i="3" s="1"/>
  <c r="Q614" i="3"/>
  <c r="R614" i="3" s="1"/>
  <c r="S614" i="3" s="1"/>
  <c r="Q613" i="3"/>
  <c r="R613" i="3" s="1"/>
  <c r="S613" i="3" s="1"/>
  <c r="Q612" i="3"/>
  <c r="R612" i="3" s="1"/>
  <c r="S612" i="3" s="1"/>
  <c r="Q611" i="3"/>
  <c r="R611" i="3" s="1"/>
  <c r="S611" i="3" s="1"/>
  <c r="Q610" i="3"/>
  <c r="R610" i="3" s="1"/>
  <c r="S610" i="3" s="1"/>
  <c r="Q609" i="3"/>
  <c r="R609" i="3" s="1"/>
  <c r="S609" i="3" s="1"/>
  <c r="Q608" i="3"/>
  <c r="R608" i="3" s="1"/>
  <c r="S608" i="3" s="1"/>
  <c r="Q607" i="3"/>
  <c r="R607" i="3" s="1"/>
  <c r="S607" i="3" s="1"/>
  <c r="Q606" i="3"/>
  <c r="R606" i="3" s="1"/>
  <c r="S606" i="3" s="1"/>
  <c r="Q605" i="3"/>
  <c r="R605" i="3" s="1"/>
  <c r="S605" i="3" s="1"/>
  <c r="Q604" i="3"/>
  <c r="R604" i="3" s="1"/>
  <c r="S604" i="3" s="1"/>
  <c r="Q603" i="3"/>
  <c r="R603" i="3" s="1"/>
  <c r="S603" i="3" s="1"/>
  <c r="Q602" i="3"/>
  <c r="R602" i="3" s="1"/>
  <c r="S602" i="3" s="1"/>
  <c r="Q601" i="3"/>
  <c r="R601" i="3" s="1"/>
  <c r="S601" i="3" s="1"/>
  <c r="Q600" i="3"/>
  <c r="R600" i="3" s="1"/>
  <c r="S600" i="3" s="1"/>
  <c r="Q599" i="3"/>
  <c r="R599" i="3" s="1"/>
  <c r="S599" i="3" s="1"/>
  <c r="Q598" i="3"/>
  <c r="R598" i="3" s="1"/>
  <c r="S598" i="3" s="1"/>
  <c r="Q597" i="3"/>
  <c r="R597" i="3" s="1"/>
  <c r="S597" i="3" s="1"/>
  <c r="Q596" i="3"/>
  <c r="R596" i="3" s="1"/>
  <c r="S596" i="3" s="1"/>
  <c r="Q595" i="3"/>
  <c r="R595" i="3" s="1"/>
  <c r="S595" i="3" s="1"/>
  <c r="Q594" i="3"/>
  <c r="R594" i="3" s="1"/>
  <c r="S594" i="3" s="1"/>
  <c r="Q593" i="3"/>
  <c r="R593" i="3" s="1"/>
  <c r="S593" i="3" s="1"/>
  <c r="Q592" i="3"/>
  <c r="R592" i="3" s="1"/>
  <c r="S592" i="3" s="1"/>
  <c r="Q591" i="3"/>
  <c r="R591" i="3" s="1"/>
  <c r="S591" i="3" s="1"/>
  <c r="Q590" i="3"/>
  <c r="R590" i="3" s="1"/>
  <c r="S590" i="3" s="1"/>
  <c r="Q589" i="3"/>
  <c r="R589" i="3" s="1"/>
  <c r="S589" i="3" s="1"/>
  <c r="Q588" i="3"/>
  <c r="R588" i="3" s="1"/>
  <c r="S588" i="3" s="1"/>
  <c r="Q587" i="3"/>
  <c r="R587" i="3" s="1"/>
  <c r="S587" i="3" s="1"/>
  <c r="Q586" i="3"/>
  <c r="R586" i="3" s="1"/>
  <c r="S586" i="3" s="1"/>
  <c r="Q585" i="3"/>
  <c r="R585" i="3" s="1"/>
  <c r="S585" i="3" s="1"/>
  <c r="Q584" i="3"/>
  <c r="R584" i="3" s="1"/>
  <c r="S584" i="3" s="1"/>
  <c r="Q583" i="3"/>
  <c r="R583" i="3" s="1"/>
  <c r="S583" i="3" s="1"/>
  <c r="Q582" i="3"/>
  <c r="R582" i="3" s="1"/>
  <c r="S582" i="3" s="1"/>
  <c r="Q581" i="3"/>
  <c r="R581" i="3" s="1"/>
  <c r="S581" i="3" s="1"/>
  <c r="Q580" i="3"/>
  <c r="R580" i="3" s="1"/>
  <c r="S580" i="3" s="1"/>
  <c r="Q579" i="3"/>
  <c r="R579" i="3" s="1"/>
  <c r="S579" i="3" s="1"/>
  <c r="Q578" i="3"/>
  <c r="R578" i="3" s="1"/>
  <c r="S578" i="3" s="1"/>
  <c r="Q577" i="3"/>
  <c r="R577" i="3" s="1"/>
  <c r="S577" i="3" s="1"/>
  <c r="Q576" i="3"/>
  <c r="R576" i="3" s="1"/>
  <c r="S576" i="3" s="1"/>
  <c r="Q575" i="3"/>
  <c r="R575" i="3" s="1"/>
  <c r="S575" i="3" s="1"/>
  <c r="Q574" i="3"/>
  <c r="R574" i="3" s="1"/>
  <c r="S574" i="3" s="1"/>
  <c r="Q573" i="3"/>
  <c r="R573" i="3" s="1"/>
  <c r="S573" i="3" s="1"/>
  <c r="Q572" i="3"/>
  <c r="R572" i="3" s="1"/>
  <c r="S572" i="3" s="1"/>
  <c r="Q571" i="3"/>
  <c r="R571" i="3" s="1"/>
  <c r="S571" i="3" s="1"/>
  <c r="Q570" i="3"/>
  <c r="R570" i="3" s="1"/>
  <c r="S570" i="3" s="1"/>
  <c r="Q569" i="3"/>
  <c r="R569" i="3" s="1"/>
  <c r="S569" i="3" s="1"/>
  <c r="Q568" i="3"/>
  <c r="R568" i="3" s="1"/>
  <c r="S568" i="3" s="1"/>
  <c r="Q567" i="3"/>
  <c r="R567" i="3" s="1"/>
  <c r="S567" i="3" s="1"/>
  <c r="Q566" i="3"/>
  <c r="R566" i="3" s="1"/>
  <c r="S566" i="3" s="1"/>
  <c r="Q565" i="3"/>
  <c r="R565" i="3" s="1"/>
  <c r="S565" i="3" s="1"/>
  <c r="Q564" i="3"/>
  <c r="R564" i="3" s="1"/>
  <c r="S564" i="3" s="1"/>
  <c r="Q563" i="3"/>
  <c r="R563" i="3" s="1"/>
  <c r="S563" i="3" s="1"/>
  <c r="Q562" i="3"/>
  <c r="R562" i="3" s="1"/>
  <c r="S562" i="3" s="1"/>
  <c r="Q561" i="3"/>
  <c r="R561" i="3" s="1"/>
  <c r="S561" i="3" s="1"/>
  <c r="Q560" i="3"/>
  <c r="R560" i="3" s="1"/>
  <c r="S560" i="3" s="1"/>
  <c r="Q559" i="3"/>
  <c r="R559" i="3" s="1"/>
  <c r="S559" i="3" s="1"/>
  <c r="Q558" i="3"/>
  <c r="R558" i="3" s="1"/>
  <c r="S558" i="3" s="1"/>
  <c r="Q557" i="3"/>
  <c r="R557" i="3" s="1"/>
  <c r="S557" i="3" s="1"/>
  <c r="Q556" i="3"/>
  <c r="R556" i="3" s="1"/>
  <c r="S556" i="3" s="1"/>
  <c r="Q555" i="3"/>
  <c r="R555" i="3" s="1"/>
  <c r="S555" i="3" s="1"/>
  <c r="Q554" i="3"/>
  <c r="R554" i="3" s="1"/>
  <c r="S554" i="3" s="1"/>
  <c r="Q553" i="3"/>
  <c r="R553" i="3" s="1"/>
  <c r="S553" i="3" s="1"/>
  <c r="Q552" i="3"/>
  <c r="R552" i="3" s="1"/>
  <c r="S552" i="3" s="1"/>
  <c r="Q551" i="3"/>
  <c r="R551" i="3" s="1"/>
  <c r="S551" i="3" s="1"/>
  <c r="Q550" i="3"/>
  <c r="R550" i="3" s="1"/>
  <c r="S550" i="3" s="1"/>
  <c r="Q549" i="3"/>
  <c r="R549" i="3" s="1"/>
  <c r="S549" i="3" s="1"/>
  <c r="Q548" i="3"/>
  <c r="R548" i="3" s="1"/>
  <c r="S548" i="3" s="1"/>
  <c r="Q547" i="3"/>
  <c r="R547" i="3" s="1"/>
  <c r="S547" i="3" s="1"/>
  <c r="Q546" i="3"/>
  <c r="R546" i="3" s="1"/>
  <c r="S546" i="3" s="1"/>
  <c r="Q545" i="3"/>
  <c r="R545" i="3" s="1"/>
  <c r="S545" i="3" s="1"/>
  <c r="Q544" i="3"/>
  <c r="R544" i="3" s="1"/>
  <c r="S544" i="3" s="1"/>
  <c r="Q543" i="3"/>
  <c r="R543" i="3" s="1"/>
  <c r="S543" i="3" s="1"/>
  <c r="Q542" i="3"/>
  <c r="R542" i="3" s="1"/>
  <c r="S542" i="3" s="1"/>
  <c r="Q541" i="3"/>
  <c r="R541" i="3" s="1"/>
  <c r="S541" i="3" s="1"/>
  <c r="Q540" i="3"/>
  <c r="R540" i="3" s="1"/>
  <c r="S540" i="3" s="1"/>
  <c r="Q539" i="3"/>
  <c r="R539" i="3" s="1"/>
  <c r="S539" i="3" s="1"/>
  <c r="Q538" i="3"/>
  <c r="R538" i="3" s="1"/>
  <c r="S538" i="3" s="1"/>
  <c r="Q537" i="3"/>
  <c r="R537" i="3" s="1"/>
  <c r="S537" i="3" s="1"/>
  <c r="Q536" i="3"/>
  <c r="R536" i="3" s="1"/>
  <c r="S536" i="3" s="1"/>
  <c r="Q535" i="3"/>
  <c r="R535" i="3" s="1"/>
  <c r="S535" i="3" s="1"/>
  <c r="Q534" i="3"/>
  <c r="R534" i="3" s="1"/>
  <c r="S534" i="3" s="1"/>
  <c r="Q533" i="3"/>
  <c r="R533" i="3" s="1"/>
  <c r="S533" i="3" s="1"/>
  <c r="Q532" i="3"/>
  <c r="R532" i="3" s="1"/>
  <c r="S532" i="3" s="1"/>
  <c r="Q531" i="3"/>
  <c r="R531" i="3" s="1"/>
  <c r="S531" i="3" s="1"/>
  <c r="Q530" i="3"/>
  <c r="R530" i="3" s="1"/>
  <c r="S530" i="3" s="1"/>
  <c r="Q529" i="3"/>
  <c r="R529" i="3" s="1"/>
  <c r="S529" i="3" s="1"/>
  <c r="Q528" i="3"/>
  <c r="R528" i="3" s="1"/>
  <c r="S528" i="3" s="1"/>
  <c r="Q527" i="3"/>
  <c r="R527" i="3" s="1"/>
  <c r="S527" i="3" s="1"/>
  <c r="Q526" i="3"/>
  <c r="R526" i="3" s="1"/>
  <c r="S526" i="3" s="1"/>
  <c r="Q525" i="3"/>
  <c r="R525" i="3" s="1"/>
  <c r="S525" i="3" s="1"/>
  <c r="Q524" i="3"/>
  <c r="R524" i="3" s="1"/>
  <c r="S524" i="3" s="1"/>
  <c r="Q523" i="3"/>
  <c r="R523" i="3" s="1"/>
  <c r="S523" i="3" s="1"/>
  <c r="Q522" i="3"/>
  <c r="R522" i="3" s="1"/>
  <c r="S522" i="3" s="1"/>
  <c r="Q521" i="3"/>
  <c r="R521" i="3" s="1"/>
  <c r="S521" i="3" s="1"/>
  <c r="Q520" i="3"/>
  <c r="R520" i="3" s="1"/>
  <c r="S520" i="3" s="1"/>
  <c r="Q519" i="3"/>
  <c r="R519" i="3" s="1"/>
  <c r="S519" i="3" s="1"/>
  <c r="Q518" i="3"/>
  <c r="R518" i="3" s="1"/>
  <c r="S518" i="3" s="1"/>
  <c r="Q517" i="3"/>
  <c r="R517" i="3" s="1"/>
  <c r="S517" i="3" s="1"/>
  <c r="Q516" i="3"/>
  <c r="R516" i="3" s="1"/>
  <c r="S516" i="3" s="1"/>
  <c r="Q515" i="3"/>
  <c r="R515" i="3" s="1"/>
  <c r="S515" i="3" s="1"/>
  <c r="Q514" i="3"/>
  <c r="R514" i="3" s="1"/>
  <c r="S514" i="3" s="1"/>
  <c r="Q513" i="3"/>
  <c r="R513" i="3" s="1"/>
  <c r="S513" i="3" s="1"/>
  <c r="Q512" i="3"/>
  <c r="R512" i="3" s="1"/>
  <c r="S512" i="3" s="1"/>
  <c r="Q511" i="3"/>
  <c r="R511" i="3" s="1"/>
  <c r="S511" i="3" s="1"/>
  <c r="Q510" i="3"/>
  <c r="R510" i="3" s="1"/>
  <c r="S510" i="3" s="1"/>
  <c r="Q509" i="3"/>
  <c r="R509" i="3" s="1"/>
  <c r="S509" i="3" s="1"/>
  <c r="Q508" i="3"/>
  <c r="R508" i="3" s="1"/>
  <c r="S508" i="3" s="1"/>
  <c r="Q507" i="3"/>
  <c r="R507" i="3" s="1"/>
  <c r="S507" i="3" s="1"/>
  <c r="Q506" i="3"/>
  <c r="R506" i="3" s="1"/>
  <c r="S506" i="3" s="1"/>
  <c r="Q505" i="3"/>
  <c r="R505" i="3" s="1"/>
  <c r="S505" i="3" s="1"/>
  <c r="Q504" i="3"/>
  <c r="R504" i="3" s="1"/>
  <c r="S504" i="3" s="1"/>
  <c r="Q503" i="3"/>
  <c r="R503" i="3" s="1"/>
  <c r="S503" i="3" s="1"/>
  <c r="Q502" i="3"/>
  <c r="R502" i="3" s="1"/>
  <c r="S502" i="3" s="1"/>
  <c r="Q501" i="3"/>
  <c r="R501" i="3" s="1"/>
  <c r="S501" i="3" s="1"/>
  <c r="Q500" i="3"/>
  <c r="R500" i="3" s="1"/>
  <c r="S500" i="3" s="1"/>
  <c r="Q499" i="3"/>
  <c r="R499" i="3" s="1"/>
  <c r="S499" i="3" s="1"/>
  <c r="Q498" i="3"/>
  <c r="R498" i="3" s="1"/>
  <c r="S498" i="3" s="1"/>
  <c r="Q497" i="3"/>
  <c r="R497" i="3" s="1"/>
  <c r="S497" i="3" s="1"/>
  <c r="Q496" i="3"/>
  <c r="R496" i="3" s="1"/>
  <c r="S496" i="3" s="1"/>
  <c r="Q495" i="3"/>
  <c r="R495" i="3" s="1"/>
  <c r="S495" i="3" s="1"/>
  <c r="Q494" i="3"/>
  <c r="R494" i="3" s="1"/>
  <c r="S494" i="3" s="1"/>
  <c r="Q493" i="3"/>
  <c r="R493" i="3" s="1"/>
  <c r="S493" i="3" s="1"/>
  <c r="Q492" i="3"/>
  <c r="R492" i="3" s="1"/>
  <c r="S492" i="3" s="1"/>
  <c r="Q491" i="3"/>
  <c r="R491" i="3" s="1"/>
  <c r="S491" i="3" s="1"/>
  <c r="Q490" i="3"/>
  <c r="R490" i="3" s="1"/>
  <c r="S490" i="3" s="1"/>
  <c r="Q489" i="3"/>
  <c r="R489" i="3" s="1"/>
  <c r="S489" i="3" s="1"/>
  <c r="Q488" i="3"/>
  <c r="R488" i="3" s="1"/>
  <c r="S488" i="3" s="1"/>
  <c r="Q487" i="3"/>
  <c r="R487" i="3" s="1"/>
  <c r="S487" i="3" s="1"/>
  <c r="Q486" i="3"/>
  <c r="R486" i="3" s="1"/>
  <c r="S486" i="3" s="1"/>
  <c r="Q485" i="3"/>
  <c r="R485" i="3" s="1"/>
  <c r="S485" i="3" s="1"/>
  <c r="Q484" i="3"/>
  <c r="R484" i="3" s="1"/>
  <c r="S484" i="3" s="1"/>
  <c r="Q483" i="3"/>
  <c r="R483" i="3" s="1"/>
  <c r="S483" i="3" s="1"/>
  <c r="Q482" i="3"/>
  <c r="R482" i="3" s="1"/>
  <c r="S482" i="3" s="1"/>
  <c r="Q481" i="3"/>
  <c r="R481" i="3" s="1"/>
  <c r="S481" i="3" s="1"/>
  <c r="Q480" i="3"/>
  <c r="R480" i="3" s="1"/>
  <c r="S480" i="3" s="1"/>
  <c r="Q479" i="3"/>
  <c r="R479" i="3" s="1"/>
  <c r="S479" i="3" s="1"/>
  <c r="Q478" i="3"/>
  <c r="R478" i="3" s="1"/>
  <c r="S478" i="3" s="1"/>
  <c r="Q477" i="3"/>
  <c r="R477" i="3" s="1"/>
  <c r="S477" i="3" s="1"/>
  <c r="Q476" i="3"/>
  <c r="R476" i="3" s="1"/>
  <c r="S476" i="3" s="1"/>
  <c r="Q475" i="3"/>
  <c r="R475" i="3" s="1"/>
  <c r="S475" i="3" s="1"/>
  <c r="Q474" i="3"/>
  <c r="R474" i="3" s="1"/>
  <c r="S474" i="3" s="1"/>
  <c r="Q473" i="3"/>
  <c r="R473" i="3" s="1"/>
  <c r="S473" i="3" s="1"/>
  <c r="Q472" i="3"/>
  <c r="R472" i="3" s="1"/>
  <c r="S472" i="3" s="1"/>
  <c r="Q471" i="3"/>
  <c r="R471" i="3" s="1"/>
  <c r="S471" i="3" s="1"/>
  <c r="Q470" i="3"/>
  <c r="R470" i="3" s="1"/>
  <c r="S470" i="3" s="1"/>
  <c r="Q469" i="3"/>
  <c r="R469" i="3" s="1"/>
  <c r="S469" i="3" s="1"/>
  <c r="Q468" i="3"/>
  <c r="R468" i="3" s="1"/>
  <c r="S468" i="3" s="1"/>
  <c r="Q467" i="3"/>
  <c r="R467" i="3" s="1"/>
  <c r="S467" i="3" s="1"/>
  <c r="Q466" i="3"/>
  <c r="R466" i="3" s="1"/>
  <c r="S466" i="3" s="1"/>
  <c r="Q465" i="3"/>
  <c r="R465" i="3" s="1"/>
  <c r="S465" i="3" s="1"/>
  <c r="Q464" i="3"/>
  <c r="R464" i="3" s="1"/>
  <c r="S464" i="3" s="1"/>
  <c r="Q463" i="3"/>
  <c r="R463" i="3" s="1"/>
  <c r="S463" i="3" s="1"/>
  <c r="Q462" i="3"/>
  <c r="R462" i="3" s="1"/>
  <c r="S462" i="3" s="1"/>
  <c r="Q461" i="3"/>
  <c r="R461" i="3" s="1"/>
  <c r="S461" i="3" s="1"/>
  <c r="Q460" i="3"/>
  <c r="R460" i="3" s="1"/>
  <c r="S460" i="3" s="1"/>
  <c r="Q459" i="3"/>
  <c r="R459" i="3" s="1"/>
  <c r="S459" i="3" s="1"/>
  <c r="Q458" i="3"/>
  <c r="R458" i="3" s="1"/>
  <c r="S458" i="3" s="1"/>
  <c r="Q457" i="3"/>
  <c r="R457" i="3" s="1"/>
  <c r="S457" i="3" s="1"/>
  <c r="Q456" i="3"/>
  <c r="R456" i="3" s="1"/>
  <c r="S456" i="3" s="1"/>
  <c r="Q455" i="3"/>
  <c r="R455" i="3" s="1"/>
  <c r="S455" i="3" s="1"/>
  <c r="Q454" i="3"/>
  <c r="R454" i="3" s="1"/>
  <c r="S454" i="3" s="1"/>
  <c r="Q453" i="3"/>
  <c r="R453" i="3" s="1"/>
  <c r="S453" i="3" s="1"/>
  <c r="Q452" i="3"/>
  <c r="R452" i="3" s="1"/>
  <c r="S452" i="3" s="1"/>
  <c r="Q451" i="3"/>
  <c r="R451" i="3" s="1"/>
  <c r="S451" i="3" s="1"/>
  <c r="Q450" i="3"/>
  <c r="R450" i="3" s="1"/>
  <c r="S450" i="3" s="1"/>
  <c r="Q449" i="3"/>
  <c r="R449" i="3" s="1"/>
  <c r="S449" i="3" s="1"/>
  <c r="Q448" i="3"/>
  <c r="R448" i="3" s="1"/>
  <c r="S448" i="3" s="1"/>
  <c r="Q447" i="3"/>
  <c r="R447" i="3" s="1"/>
  <c r="S447" i="3" s="1"/>
  <c r="Q446" i="3"/>
  <c r="R446" i="3" s="1"/>
  <c r="S446" i="3" s="1"/>
  <c r="Q445" i="3"/>
  <c r="R445" i="3" s="1"/>
  <c r="S445" i="3" s="1"/>
  <c r="Q444" i="3"/>
  <c r="R444" i="3" s="1"/>
  <c r="S444" i="3" s="1"/>
  <c r="Q443" i="3"/>
  <c r="R443" i="3" s="1"/>
  <c r="S443" i="3" s="1"/>
  <c r="Q442" i="3"/>
  <c r="R442" i="3" s="1"/>
  <c r="S442" i="3" s="1"/>
  <c r="Q441" i="3"/>
  <c r="R441" i="3" s="1"/>
  <c r="S441" i="3" s="1"/>
  <c r="Q440" i="3"/>
  <c r="R440" i="3" s="1"/>
  <c r="S440" i="3" s="1"/>
  <c r="Q439" i="3"/>
  <c r="R439" i="3" s="1"/>
  <c r="S439" i="3" s="1"/>
  <c r="Q438" i="3"/>
  <c r="R438" i="3" s="1"/>
  <c r="S438" i="3" s="1"/>
  <c r="Q437" i="3"/>
  <c r="R437" i="3" s="1"/>
  <c r="S437" i="3" s="1"/>
  <c r="Q436" i="3"/>
  <c r="R436" i="3" s="1"/>
  <c r="S436" i="3" s="1"/>
  <c r="Q435" i="3"/>
  <c r="R435" i="3" s="1"/>
  <c r="S435" i="3" s="1"/>
  <c r="Q434" i="3"/>
  <c r="R434" i="3" s="1"/>
  <c r="S434" i="3" s="1"/>
  <c r="Q433" i="3"/>
  <c r="R433" i="3" s="1"/>
  <c r="S433" i="3" s="1"/>
  <c r="Q432" i="3"/>
  <c r="R432" i="3" s="1"/>
  <c r="S432" i="3" s="1"/>
  <c r="Q431" i="3"/>
  <c r="R431" i="3" s="1"/>
  <c r="S431" i="3" s="1"/>
  <c r="Q430" i="3"/>
  <c r="R430" i="3" s="1"/>
  <c r="S430" i="3" s="1"/>
  <c r="Q429" i="3"/>
  <c r="R429" i="3" s="1"/>
  <c r="S429" i="3" s="1"/>
  <c r="Q428" i="3"/>
  <c r="R428" i="3" s="1"/>
  <c r="S428" i="3" s="1"/>
  <c r="Q427" i="3"/>
  <c r="R427" i="3" s="1"/>
  <c r="S427" i="3" s="1"/>
  <c r="Q426" i="3"/>
  <c r="R426" i="3" s="1"/>
  <c r="S426" i="3" s="1"/>
  <c r="Q425" i="3"/>
  <c r="R425" i="3" s="1"/>
  <c r="S425" i="3" s="1"/>
  <c r="Q424" i="3"/>
  <c r="R424" i="3" s="1"/>
  <c r="S424" i="3" s="1"/>
  <c r="Q423" i="3"/>
  <c r="R423" i="3" s="1"/>
  <c r="S423" i="3" s="1"/>
  <c r="Q422" i="3"/>
  <c r="R422" i="3" s="1"/>
  <c r="S422" i="3" s="1"/>
  <c r="Q421" i="3"/>
  <c r="R421" i="3" s="1"/>
  <c r="S421" i="3" s="1"/>
  <c r="Q420" i="3"/>
  <c r="R420" i="3" s="1"/>
  <c r="S420" i="3" s="1"/>
  <c r="Q419" i="3"/>
  <c r="R419" i="3" s="1"/>
  <c r="S419" i="3" s="1"/>
  <c r="Q418" i="3"/>
  <c r="R418" i="3" s="1"/>
  <c r="S418" i="3" s="1"/>
  <c r="Q417" i="3"/>
  <c r="R417" i="3" s="1"/>
  <c r="S417" i="3" s="1"/>
  <c r="Q416" i="3"/>
  <c r="R416" i="3" s="1"/>
  <c r="S416" i="3" s="1"/>
  <c r="Q415" i="3"/>
  <c r="R415" i="3" s="1"/>
  <c r="S415" i="3" s="1"/>
  <c r="Q414" i="3"/>
  <c r="R414" i="3" s="1"/>
  <c r="S414" i="3" s="1"/>
  <c r="Q413" i="3"/>
  <c r="R413" i="3" s="1"/>
  <c r="S413" i="3" s="1"/>
  <c r="Q412" i="3"/>
  <c r="R412" i="3" s="1"/>
  <c r="S412" i="3" s="1"/>
  <c r="Q411" i="3"/>
  <c r="R411" i="3" s="1"/>
  <c r="S411" i="3" s="1"/>
  <c r="Q410" i="3"/>
  <c r="R410" i="3" s="1"/>
  <c r="S410" i="3" s="1"/>
  <c r="Q409" i="3"/>
  <c r="R409" i="3" s="1"/>
  <c r="S409" i="3" s="1"/>
  <c r="Q408" i="3"/>
  <c r="R408" i="3" s="1"/>
  <c r="S408" i="3" s="1"/>
  <c r="Q407" i="3"/>
  <c r="R407" i="3" s="1"/>
  <c r="S407" i="3" s="1"/>
  <c r="Q406" i="3"/>
  <c r="R406" i="3" s="1"/>
  <c r="S406" i="3" s="1"/>
  <c r="Q405" i="3"/>
  <c r="R405" i="3" s="1"/>
  <c r="S405" i="3" s="1"/>
  <c r="Q404" i="3"/>
  <c r="R404" i="3" s="1"/>
  <c r="S404" i="3" s="1"/>
  <c r="Q403" i="3"/>
  <c r="R403" i="3" s="1"/>
  <c r="S403" i="3" s="1"/>
  <c r="Q402" i="3"/>
  <c r="R402" i="3" s="1"/>
  <c r="S402" i="3" s="1"/>
  <c r="Q401" i="3"/>
  <c r="R401" i="3" s="1"/>
  <c r="S401" i="3" s="1"/>
  <c r="Q400" i="3"/>
  <c r="R400" i="3" s="1"/>
  <c r="S400" i="3" s="1"/>
  <c r="Q399" i="3"/>
  <c r="R399" i="3" s="1"/>
  <c r="S399" i="3" s="1"/>
  <c r="Q398" i="3"/>
  <c r="R398" i="3" s="1"/>
  <c r="S398" i="3" s="1"/>
  <c r="Q397" i="3"/>
  <c r="R397" i="3" s="1"/>
  <c r="S397" i="3" s="1"/>
  <c r="Q396" i="3"/>
  <c r="R396" i="3" s="1"/>
  <c r="S396" i="3" s="1"/>
  <c r="Q395" i="3"/>
  <c r="R395" i="3" s="1"/>
  <c r="S395" i="3" s="1"/>
  <c r="Q394" i="3"/>
  <c r="R394" i="3" s="1"/>
  <c r="S394" i="3" s="1"/>
  <c r="Q393" i="3"/>
  <c r="R393" i="3" s="1"/>
  <c r="S393" i="3" s="1"/>
  <c r="Q392" i="3"/>
  <c r="R392" i="3" s="1"/>
  <c r="S392" i="3" s="1"/>
  <c r="Q391" i="3"/>
  <c r="R391" i="3" s="1"/>
  <c r="S391" i="3" s="1"/>
  <c r="Q390" i="3"/>
  <c r="R390" i="3" s="1"/>
  <c r="S390" i="3" s="1"/>
  <c r="Q389" i="3"/>
  <c r="R389" i="3" s="1"/>
  <c r="S389" i="3" s="1"/>
  <c r="Q388" i="3"/>
  <c r="R388" i="3" s="1"/>
  <c r="S388" i="3" s="1"/>
  <c r="Q387" i="3"/>
  <c r="R387" i="3" s="1"/>
  <c r="S387" i="3" s="1"/>
  <c r="Q386" i="3"/>
  <c r="R386" i="3" s="1"/>
  <c r="S386" i="3" s="1"/>
  <c r="Q385" i="3"/>
  <c r="R385" i="3" s="1"/>
  <c r="S385" i="3" s="1"/>
  <c r="Q384" i="3"/>
  <c r="R384" i="3" s="1"/>
  <c r="S384" i="3" s="1"/>
  <c r="Q383" i="3"/>
  <c r="R383" i="3" s="1"/>
  <c r="S383" i="3" s="1"/>
  <c r="Q382" i="3"/>
  <c r="R382" i="3" s="1"/>
  <c r="S382" i="3" s="1"/>
  <c r="Q381" i="3"/>
  <c r="R381" i="3" s="1"/>
  <c r="S381" i="3" s="1"/>
  <c r="Q380" i="3"/>
  <c r="R380" i="3" s="1"/>
  <c r="S380" i="3" s="1"/>
  <c r="Q379" i="3"/>
  <c r="R379" i="3" s="1"/>
  <c r="S379" i="3" s="1"/>
  <c r="Q378" i="3"/>
  <c r="R378" i="3" s="1"/>
  <c r="S378" i="3" s="1"/>
  <c r="Q377" i="3"/>
  <c r="R377" i="3" s="1"/>
  <c r="S377" i="3" s="1"/>
  <c r="Q376" i="3"/>
  <c r="R376" i="3" s="1"/>
  <c r="S376" i="3" s="1"/>
  <c r="Q375" i="3"/>
  <c r="R375" i="3" s="1"/>
  <c r="S375" i="3" s="1"/>
  <c r="Q374" i="3"/>
  <c r="R374" i="3" s="1"/>
  <c r="S374" i="3" s="1"/>
  <c r="Q373" i="3"/>
  <c r="R373" i="3" s="1"/>
  <c r="S373" i="3" s="1"/>
  <c r="Q372" i="3"/>
  <c r="R372" i="3" s="1"/>
  <c r="S372" i="3" s="1"/>
  <c r="Q371" i="3"/>
  <c r="R371" i="3" s="1"/>
  <c r="S371" i="3" s="1"/>
  <c r="Q370" i="3"/>
  <c r="R370" i="3" s="1"/>
  <c r="S370" i="3" s="1"/>
  <c r="Q369" i="3"/>
  <c r="R369" i="3" s="1"/>
  <c r="S369" i="3" s="1"/>
  <c r="Q368" i="3"/>
  <c r="R368" i="3" s="1"/>
  <c r="S368" i="3" s="1"/>
  <c r="Q367" i="3"/>
  <c r="R367" i="3" s="1"/>
  <c r="S367" i="3" s="1"/>
  <c r="Q366" i="3"/>
  <c r="R366" i="3" s="1"/>
  <c r="S366" i="3" s="1"/>
  <c r="Q365" i="3"/>
  <c r="R365" i="3" s="1"/>
  <c r="S365" i="3" s="1"/>
  <c r="Q364" i="3"/>
  <c r="R364" i="3" s="1"/>
  <c r="S364" i="3" s="1"/>
  <c r="Q363" i="3"/>
  <c r="R363" i="3" s="1"/>
  <c r="S363" i="3" s="1"/>
  <c r="Q362" i="3"/>
  <c r="R362" i="3" s="1"/>
  <c r="S362" i="3" s="1"/>
  <c r="Q361" i="3"/>
  <c r="R361" i="3" s="1"/>
  <c r="S361" i="3" s="1"/>
  <c r="Q360" i="3"/>
  <c r="R360" i="3" s="1"/>
  <c r="S360" i="3" s="1"/>
  <c r="Q359" i="3"/>
  <c r="R359" i="3" s="1"/>
  <c r="S359" i="3" s="1"/>
  <c r="Q358" i="3"/>
  <c r="R358" i="3" s="1"/>
  <c r="S358" i="3" s="1"/>
  <c r="Q357" i="3"/>
  <c r="R357" i="3" s="1"/>
  <c r="S357" i="3" s="1"/>
  <c r="Q356" i="3"/>
  <c r="R356" i="3" s="1"/>
  <c r="S356" i="3" s="1"/>
  <c r="Q355" i="3"/>
  <c r="R355" i="3" s="1"/>
  <c r="S355" i="3" s="1"/>
  <c r="Q354" i="3"/>
  <c r="R354" i="3" s="1"/>
  <c r="S354" i="3" s="1"/>
  <c r="Q353" i="3"/>
  <c r="R353" i="3" s="1"/>
  <c r="S353" i="3" s="1"/>
  <c r="Q352" i="3"/>
  <c r="R352" i="3" s="1"/>
  <c r="S352" i="3" s="1"/>
  <c r="Q351" i="3"/>
  <c r="R351" i="3" s="1"/>
  <c r="S351" i="3" s="1"/>
  <c r="Q350" i="3"/>
  <c r="R350" i="3" s="1"/>
  <c r="S350" i="3" s="1"/>
  <c r="Q349" i="3"/>
  <c r="R349" i="3" s="1"/>
  <c r="S349" i="3" s="1"/>
  <c r="Q348" i="3"/>
  <c r="R348" i="3" s="1"/>
  <c r="S348" i="3" s="1"/>
  <c r="Q347" i="3"/>
  <c r="R347" i="3" s="1"/>
  <c r="S347" i="3" s="1"/>
  <c r="Q346" i="3"/>
  <c r="R346" i="3" s="1"/>
  <c r="S346" i="3" s="1"/>
  <c r="Q345" i="3"/>
  <c r="R345" i="3" s="1"/>
  <c r="S345" i="3" s="1"/>
  <c r="Q344" i="3"/>
  <c r="R344" i="3" s="1"/>
  <c r="S344" i="3" s="1"/>
  <c r="Q343" i="3"/>
  <c r="R343" i="3" s="1"/>
  <c r="S343" i="3" s="1"/>
  <c r="Q342" i="3"/>
  <c r="R342" i="3" s="1"/>
  <c r="S342" i="3" s="1"/>
  <c r="Q341" i="3"/>
  <c r="R341" i="3" s="1"/>
  <c r="S341" i="3" s="1"/>
  <c r="Q340" i="3"/>
  <c r="R340" i="3" s="1"/>
  <c r="S340" i="3" s="1"/>
  <c r="Q339" i="3"/>
  <c r="R339" i="3" s="1"/>
  <c r="S339" i="3" s="1"/>
  <c r="Q338" i="3"/>
  <c r="R338" i="3" s="1"/>
  <c r="S338" i="3" s="1"/>
  <c r="Q337" i="3"/>
  <c r="R337" i="3" s="1"/>
  <c r="S337" i="3" s="1"/>
  <c r="Q336" i="3"/>
  <c r="R336" i="3" s="1"/>
  <c r="S336" i="3" s="1"/>
  <c r="Q335" i="3"/>
  <c r="R335" i="3" s="1"/>
  <c r="S335" i="3" s="1"/>
  <c r="Q334" i="3"/>
  <c r="R334" i="3" s="1"/>
  <c r="S334" i="3" s="1"/>
  <c r="Q333" i="3"/>
  <c r="R333" i="3" s="1"/>
  <c r="S333" i="3" s="1"/>
  <c r="Q332" i="3"/>
  <c r="R332" i="3" s="1"/>
  <c r="S332" i="3" s="1"/>
  <c r="Q331" i="3"/>
  <c r="R331" i="3" s="1"/>
  <c r="S331" i="3" s="1"/>
  <c r="Q330" i="3"/>
  <c r="R330" i="3" s="1"/>
  <c r="S330" i="3" s="1"/>
  <c r="Q329" i="3"/>
  <c r="R329" i="3" s="1"/>
  <c r="S329" i="3" s="1"/>
  <c r="Q328" i="3"/>
  <c r="R328" i="3" s="1"/>
  <c r="S328" i="3" s="1"/>
  <c r="Q327" i="3"/>
  <c r="R327" i="3" s="1"/>
  <c r="S327" i="3" s="1"/>
  <c r="Q326" i="3"/>
  <c r="R326" i="3" s="1"/>
  <c r="S326" i="3" s="1"/>
  <c r="Q325" i="3"/>
  <c r="R325" i="3" s="1"/>
  <c r="S325" i="3" s="1"/>
  <c r="Q324" i="3"/>
  <c r="R324" i="3" s="1"/>
  <c r="S324" i="3" s="1"/>
  <c r="Q323" i="3"/>
  <c r="R323" i="3" s="1"/>
  <c r="S323" i="3" s="1"/>
  <c r="Q322" i="3"/>
  <c r="R322" i="3" s="1"/>
  <c r="S322" i="3" s="1"/>
  <c r="Q321" i="3"/>
  <c r="R321" i="3" s="1"/>
  <c r="S321" i="3" s="1"/>
  <c r="Q320" i="3"/>
  <c r="R320" i="3" s="1"/>
  <c r="S320" i="3" s="1"/>
  <c r="Q319" i="3"/>
  <c r="R319" i="3" s="1"/>
  <c r="S319" i="3" s="1"/>
  <c r="Q318" i="3"/>
  <c r="R318" i="3" s="1"/>
  <c r="S318" i="3" s="1"/>
  <c r="Q317" i="3"/>
  <c r="R317" i="3" s="1"/>
  <c r="S317" i="3" s="1"/>
  <c r="Q316" i="3"/>
  <c r="R316" i="3" s="1"/>
  <c r="S316" i="3" s="1"/>
  <c r="Q315" i="3"/>
  <c r="R315" i="3" s="1"/>
  <c r="S315" i="3" s="1"/>
  <c r="Q314" i="3"/>
  <c r="R314" i="3" s="1"/>
  <c r="S314" i="3" s="1"/>
  <c r="Q313" i="3"/>
  <c r="R313" i="3" s="1"/>
  <c r="S313" i="3" s="1"/>
  <c r="Q312" i="3"/>
  <c r="R312" i="3" s="1"/>
  <c r="S312" i="3" s="1"/>
  <c r="Q311" i="3"/>
  <c r="R311" i="3" s="1"/>
  <c r="S311" i="3" s="1"/>
  <c r="Q310" i="3"/>
  <c r="R310" i="3" s="1"/>
  <c r="S310" i="3" s="1"/>
  <c r="Q309" i="3"/>
  <c r="R309" i="3" s="1"/>
  <c r="S309" i="3" s="1"/>
  <c r="Q308" i="3"/>
  <c r="R308" i="3" s="1"/>
  <c r="S308" i="3" s="1"/>
  <c r="Q307" i="3"/>
  <c r="R307" i="3" s="1"/>
  <c r="S307" i="3" s="1"/>
  <c r="Q306" i="3"/>
  <c r="R306" i="3" s="1"/>
  <c r="S306" i="3" s="1"/>
  <c r="Q305" i="3"/>
  <c r="R305" i="3" s="1"/>
  <c r="S305" i="3" s="1"/>
  <c r="Q304" i="3"/>
  <c r="R304" i="3" s="1"/>
  <c r="S304" i="3" s="1"/>
  <c r="Q303" i="3"/>
  <c r="R303" i="3" s="1"/>
  <c r="S303" i="3" s="1"/>
  <c r="Q302" i="3"/>
  <c r="R302" i="3" s="1"/>
  <c r="S302" i="3" s="1"/>
  <c r="Q301" i="3"/>
  <c r="R301" i="3" s="1"/>
  <c r="S301" i="3" s="1"/>
  <c r="Q300" i="3"/>
  <c r="R300" i="3" s="1"/>
  <c r="S300" i="3" s="1"/>
  <c r="Q299" i="3"/>
  <c r="R299" i="3" s="1"/>
  <c r="S299" i="3" s="1"/>
  <c r="Q298" i="3"/>
  <c r="R298" i="3" s="1"/>
  <c r="S298" i="3" s="1"/>
  <c r="Q297" i="3"/>
  <c r="R297" i="3" s="1"/>
  <c r="S297" i="3" s="1"/>
  <c r="Q296" i="3"/>
  <c r="R296" i="3" s="1"/>
  <c r="S296" i="3" s="1"/>
  <c r="Q295" i="3"/>
  <c r="R295" i="3" s="1"/>
  <c r="S295" i="3" s="1"/>
  <c r="Q294" i="3"/>
  <c r="R294" i="3" s="1"/>
  <c r="S294" i="3" s="1"/>
  <c r="Q293" i="3"/>
  <c r="R293" i="3" s="1"/>
  <c r="S293" i="3" s="1"/>
  <c r="Q292" i="3"/>
  <c r="R292" i="3" s="1"/>
  <c r="S292" i="3" s="1"/>
  <c r="Q291" i="3"/>
  <c r="R291" i="3" s="1"/>
  <c r="S291" i="3" s="1"/>
  <c r="Q290" i="3"/>
  <c r="R290" i="3" s="1"/>
  <c r="S290" i="3" s="1"/>
  <c r="Q289" i="3"/>
  <c r="R289" i="3" s="1"/>
  <c r="S289" i="3" s="1"/>
  <c r="Q288" i="3"/>
  <c r="R288" i="3" s="1"/>
  <c r="S288" i="3" s="1"/>
  <c r="Q287" i="3"/>
  <c r="R287" i="3" s="1"/>
  <c r="S287" i="3" s="1"/>
  <c r="Q286" i="3"/>
  <c r="R286" i="3" s="1"/>
  <c r="S286" i="3" s="1"/>
  <c r="Q285" i="3"/>
  <c r="R285" i="3" s="1"/>
  <c r="S285" i="3" s="1"/>
  <c r="Q284" i="3"/>
  <c r="R284" i="3" s="1"/>
  <c r="S284" i="3" s="1"/>
  <c r="Q283" i="3"/>
  <c r="R283" i="3" s="1"/>
  <c r="S283" i="3" s="1"/>
  <c r="Q282" i="3"/>
  <c r="R282" i="3" s="1"/>
  <c r="S282" i="3" s="1"/>
  <c r="Q281" i="3"/>
  <c r="R281" i="3" s="1"/>
  <c r="S281" i="3" s="1"/>
  <c r="Q280" i="3"/>
  <c r="R280" i="3" s="1"/>
  <c r="S280" i="3" s="1"/>
  <c r="Q279" i="3"/>
  <c r="R279" i="3" s="1"/>
  <c r="S279" i="3" s="1"/>
  <c r="Q278" i="3"/>
  <c r="R278" i="3" s="1"/>
  <c r="S278" i="3" s="1"/>
  <c r="Q277" i="3"/>
  <c r="R277" i="3" s="1"/>
  <c r="S277" i="3" s="1"/>
  <c r="Q276" i="3"/>
  <c r="R276" i="3" s="1"/>
  <c r="S276" i="3" s="1"/>
  <c r="Q275" i="3"/>
  <c r="R275" i="3" s="1"/>
  <c r="S275" i="3" s="1"/>
  <c r="Q274" i="3"/>
  <c r="R274" i="3" s="1"/>
  <c r="S274" i="3" s="1"/>
  <c r="Q273" i="3"/>
  <c r="R273" i="3" s="1"/>
  <c r="S273" i="3" s="1"/>
  <c r="Q272" i="3"/>
  <c r="R272" i="3" s="1"/>
  <c r="S272" i="3" s="1"/>
  <c r="Q271" i="3"/>
  <c r="R271" i="3" s="1"/>
  <c r="S271" i="3" s="1"/>
  <c r="Q270" i="3"/>
  <c r="R270" i="3" s="1"/>
  <c r="S270" i="3" s="1"/>
  <c r="Q269" i="3"/>
  <c r="R269" i="3" s="1"/>
  <c r="S269" i="3" s="1"/>
  <c r="Q268" i="3"/>
  <c r="R268" i="3" s="1"/>
  <c r="S268" i="3" s="1"/>
  <c r="Q267" i="3"/>
  <c r="R267" i="3" s="1"/>
  <c r="S267" i="3" s="1"/>
  <c r="Q266" i="3"/>
  <c r="R266" i="3" s="1"/>
  <c r="S266" i="3" s="1"/>
  <c r="Q265" i="3"/>
  <c r="R265" i="3" s="1"/>
  <c r="S265" i="3" s="1"/>
  <c r="Q264" i="3"/>
  <c r="R264" i="3" s="1"/>
  <c r="S264" i="3" s="1"/>
  <c r="Q263" i="3"/>
  <c r="R263" i="3" s="1"/>
  <c r="S263" i="3" s="1"/>
  <c r="Q262" i="3"/>
  <c r="R262" i="3" s="1"/>
  <c r="S262" i="3" s="1"/>
  <c r="Q261" i="3"/>
  <c r="R261" i="3" s="1"/>
  <c r="S261" i="3" s="1"/>
  <c r="Q260" i="3"/>
  <c r="R260" i="3" s="1"/>
  <c r="S260" i="3" s="1"/>
  <c r="Q259" i="3"/>
  <c r="R259" i="3" s="1"/>
  <c r="S259" i="3" s="1"/>
  <c r="Q258" i="3"/>
  <c r="R258" i="3" s="1"/>
  <c r="S258" i="3" s="1"/>
  <c r="Q257" i="3"/>
  <c r="R257" i="3" s="1"/>
  <c r="S257" i="3" s="1"/>
  <c r="Q256" i="3"/>
  <c r="R256" i="3" s="1"/>
  <c r="S256" i="3" s="1"/>
  <c r="Q255" i="3"/>
  <c r="R255" i="3" s="1"/>
  <c r="S255" i="3" s="1"/>
  <c r="Q254" i="3"/>
  <c r="R254" i="3" s="1"/>
  <c r="S254" i="3" s="1"/>
  <c r="Q253" i="3"/>
  <c r="R253" i="3" s="1"/>
  <c r="S253" i="3" s="1"/>
  <c r="Q252" i="3"/>
  <c r="R252" i="3" s="1"/>
  <c r="S252" i="3" s="1"/>
  <c r="Q251" i="3"/>
  <c r="R251" i="3" s="1"/>
  <c r="S251" i="3" s="1"/>
  <c r="Q250" i="3"/>
  <c r="R250" i="3" s="1"/>
  <c r="S250" i="3" s="1"/>
  <c r="Q249" i="3"/>
  <c r="R249" i="3" s="1"/>
  <c r="S249" i="3" s="1"/>
  <c r="Q248" i="3"/>
  <c r="R248" i="3" s="1"/>
  <c r="S248" i="3" s="1"/>
  <c r="Q247" i="3"/>
  <c r="R247" i="3" s="1"/>
  <c r="S247" i="3" s="1"/>
  <c r="Q246" i="3"/>
  <c r="R246" i="3" s="1"/>
  <c r="S246" i="3" s="1"/>
  <c r="Q245" i="3"/>
  <c r="R245" i="3" s="1"/>
  <c r="S245" i="3" s="1"/>
  <c r="Q244" i="3"/>
  <c r="R244" i="3" s="1"/>
  <c r="S244" i="3" s="1"/>
  <c r="Q243" i="3"/>
  <c r="R243" i="3" s="1"/>
  <c r="S243" i="3" s="1"/>
  <c r="Q242" i="3"/>
  <c r="R242" i="3" s="1"/>
  <c r="S242" i="3" s="1"/>
  <c r="Q241" i="3"/>
  <c r="R241" i="3" s="1"/>
  <c r="S241" i="3" s="1"/>
  <c r="Q240" i="3"/>
  <c r="R240" i="3" s="1"/>
  <c r="S240" i="3" s="1"/>
  <c r="Q239" i="3"/>
  <c r="R239" i="3" s="1"/>
  <c r="S239" i="3" s="1"/>
  <c r="Q238" i="3"/>
  <c r="R238" i="3" s="1"/>
  <c r="S238" i="3" s="1"/>
  <c r="Q237" i="3"/>
  <c r="R237" i="3" s="1"/>
  <c r="S237" i="3" s="1"/>
  <c r="Q236" i="3"/>
  <c r="R236" i="3" s="1"/>
  <c r="S236" i="3" s="1"/>
  <c r="Q235" i="3"/>
  <c r="R235" i="3" s="1"/>
  <c r="S235" i="3" s="1"/>
  <c r="Q234" i="3"/>
  <c r="R234" i="3" s="1"/>
  <c r="S234" i="3" s="1"/>
  <c r="Q233" i="3"/>
  <c r="R233" i="3" s="1"/>
  <c r="S233" i="3" s="1"/>
  <c r="Q232" i="3"/>
  <c r="R232" i="3" s="1"/>
  <c r="S232" i="3" s="1"/>
  <c r="Q231" i="3"/>
  <c r="R231" i="3" s="1"/>
  <c r="S231" i="3" s="1"/>
  <c r="Q230" i="3"/>
  <c r="R230" i="3" s="1"/>
  <c r="S230" i="3" s="1"/>
  <c r="Q229" i="3"/>
  <c r="R229" i="3" s="1"/>
  <c r="S229" i="3" s="1"/>
  <c r="Q228" i="3"/>
  <c r="R228" i="3" s="1"/>
  <c r="S228" i="3" s="1"/>
  <c r="Q227" i="3"/>
  <c r="R227" i="3" s="1"/>
  <c r="S227" i="3" s="1"/>
  <c r="Q226" i="3"/>
  <c r="R226" i="3" s="1"/>
  <c r="S226" i="3" s="1"/>
  <c r="Q225" i="3"/>
  <c r="R225" i="3" s="1"/>
  <c r="S225" i="3" s="1"/>
  <c r="Q224" i="3"/>
  <c r="R224" i="3" s="1"/>
  <c r="S224" i="3" s="1"/>
  <c r="Q223" i="3"/>
  <c r="R223" i="3" s="1"/>
  <c r="S223" i="3" s="1"/>
  <c r="Q222" i="3"/>
  <c r="R222" i="3" s="1"/>
  <c r="S222" i="3" s="1"/>
  <c r="Q221" i="3"/>
  <c r="R221" i="3" s="1"/>
  <c r="S221" i="3" s="1"/>
  <c r="Q220" i="3"/>
  <c r="R220" i="3" s="1"/>
  <c r="S220" i="3" s="1"/>
  <c r="Q219" i="3"/>
  <c r="R219" i="3" s="1"/>
  <c r="S219" i="3" s="1"/>
  <c r="Q218" i="3"/>
  <c r="R218" i="3" s="1"/>
  <c r="S218" i="3" s="1"/>
  <c r="Q217" i="3"/>
  <c r="R217" i="3" s="1"/>
  <c r="S217" i="3" s="1"/>
  <c r="Q216" i="3"/>
  <c r="R216" i="3" s="1"/>
  <c r="S216" i="3" s="1"/>
  <c r="Q215" i="3"/>
  <c r="R215" i="3" s="1"/>
  <c r="S215" i="3" s="1"/>
  <c r="Q214" i="3"/>
  <c r="R214" i="3" s="1"/>
  <c r="S214" i="3" s="1"/>
  <c r="Q213" i="3"/>
  <c r="R213" i="3" s="1"/>
  <c r="S213" i="3" s="1"/>
  <c r="Q212" i="3"/>
  <c r="R212" i="3" s="1"/>
  <c r="S212" i="3" s="1"/>
  <c r="Q211" i="3"/>
  <c r="R211" i="3" s="1"/>
  <c r="S211" i="3" s="1"/>
  <c r="Q210" i="3"/>
  <c r="R210" i="3" s="1"/>
  <c r="S210" i="3" s="1"/>
  <c r="Q209" i="3"/>
  <c r="R209" i="3" s="1"/>
  <c r="S209" i="3" s="1"/>
  <c r="Q208" i="3"/>
  <c r="R208" i="3" s="1"/>
  <c r="S208" i="3" s="1"/>
  <c r="Q207" i="3"/>
  <c r="R207" i="3" s="1"/>
  <c r="S207" i="3" s="1"/>
  <c r="Q206" i="3"/>
  <c r="R206" i="3" s="1"/>
  <c r="S206" i="3" s="1"/>
  <c r="Q205" i="3"/>
  <c r="R205" i="3" s="1"/>
  <c r="S205" i="3" s="1"/>
  <c r="Q204" i="3"/>
  <c r="R204" i="3" s="1"/>
  <c r="S204" i="3" s="1"/>
  <c r="Q203" i="3"/>
  <c r="R203" i="3" s="1"/>
  <c r="S203" i="3" s="1"/>
  <c r="Q202" i="3"/>
  <c r="R202" i="3" s="1"/>
  <c r="S202" i="3" s="1"/>
  <c r="Q201" i="3"/>
  <c r="R201" i="3" s="1"/>
  <c r="S201" i="3" s="1"/>
  <c r="Q200" i="3"/>
  <c r="R200" i="3" s="1"/>
  <c r="S200" i="3" s="1"/>
  <c r="Q199" i="3"/>
  <c r="R199" i="3" s="1"/>
  <c r="S199" i="3" s="1"/>
  <c r="Q198" i="3"/>
  <c r="R198" i="3" s="1"/>
  <c r="S198" i="3" s="1"/>
  <c r="Q197" i="3"/>
  <c r="R197" i="3" s="1"/>
  <c r="S197" i="3" s="1"/>
  <c r="Q196" i="3"/>
  <c r="R196" i="3" s="1"/>
  <c r="S196" i="3" s="1"/>
  <c r="Q195" i="3"/>
  <c r="R195" i="3" s="1"/>
  <c r="S195" i="3" s="1"/>
  <c r="Q194" i="3"/>
  <c r="R194" i="3" s="1"/>
  <c r="S194" i="3" s="1"/>
  <c r="Q193" i="3"/>
  <c r="R193" i="3" s="1"/>
  <c r="S193" i="3" s="1"/>
  <c r="Q192" i="3"/>
  <c r="R192" i="3" s="1"/>
  <c r="S192" i="3" s="1"/>
  <c r="Q191" i="3"/>
  <c r="R191" i="3" s="1"/>
  <c r="S191" i="3" s="1"/>
  <c r="Q190" i="3"/>
  <c r="R190" i="3" s="1"/>
  <c r="S190" i="3" s="1"/>
  <c r="Q189" i="3"/>
  <c r="R189" i="3" s="1"/>
  <c r="S189" i="3" s="1"/>
  <c r="Q188" i="3"/>
  <c r="R188" i="3" s="1"/>
  <c r="S188" i="3" s="1"/>
  <c r="Q187" i="3"/>
  <c r="R187" i="3" s="1"/>
  <c r="S187" i="3" s="1"/>
  <c r="Q186" i="3"/>
  <c r="R186" i="3" s="1"/>
  <c r="S186" i="3" s="1"/>
  <c r="Q185" i="3"/>
  <c r="R185" i="3" s="1"/>
  <c r="S185" i="3" s="1"/>
  <c r="Q184" i="3"/>
  <c r="R184" i="3" s="1"/>
  <c r="S184" i="3" s="1"/>
  <c r="Q183" i="3"/>
  <c r="R183" i="3" s="1"/>
  <c r="S183" i="3" s="1"/>
  <c r="Q182" i="3"/>
  <c r="R182" i="3" s="1"/>
  <c r="S182" i="3" s="1"/>
  <c r="Q181" i="3"/>
  <c r="R181" i="3" s="1"/>
  <c r="S181" i="3" s="1"/>
  <c r="Q180" i="3"/>
  <c r="R180" i="3" s="1"/>
  <c r="S180" i="3" s="1"/>
  <c r="Q179" i="3"/>
  <c r="R179" i="3" s="1"/>
  <c r="S179" i="3" s="1"/>
  <c r="Q178" i="3"/>
  <c r="R178" i="3" s="1"/>
  <c r="S178" i="3" s="1"/>
  <c r="Q177" i="3"/>
  <c r="R177" i="3" s="1"/>
  <c r="S177" i="3" s="1"/>
  <c r="Q176" i="3"/>
  <c r="R176" i="3" s="1"/>
  <c r="S176" i="3" s="1"/>
  <c r="Q175" i="3"/>
  <c r="R175" i="3" s="1"/>
  <c r="S175" i="3" s="1"/>
  <c r="Q174" i="3"/>
  <c r="R174" i="3" s="1"/>
  <c r="S174" i="3" s="1"/>
  <c r="Q173" i="3"/>
  <c r="R173" i="3" s="1"/>
  <c r="S173" i="3" s="1"/>
  <c r="Q172" i="3"/>
  <c r="R172" i="3" s="1"/>
  <c r="S172" i="3" s="1"/>
  <c r="Q171" i="3"/>
  <c r="R171" i="3" s="1"/>
  <c r="S171" i="3" s="1"/>
  <c r="Q170" i="3"/>
  <c r="R170" i="3" s="1"/>
  <c r="S170" i="3" s="1"/>
  <c r="Q169" i="3"/>
  <c r="R169" i="3" s="1"/>
  <c r="S169" i="3" s="1"/>
  <c r="Q168" i="3"/>
  <c r="R168" i="3" s="1"/>
  <c r="S168" i="3" s="1"/>
  <c r="Q167" i="3"/>
  <c r="R167" i="3" s="1"/>
  <c r="S167" i="3" s="1"/>
  <c r="Q166" i="3"/>
  <c r="R166" i="3" s="1"/>
  <c r="S166" i="3" s="1"/>
  <c r="Q165" i="3"/>
  <c r="R165" i="3" s="1"/>
  <c r="S165" i="3" s="1"/>
  <c r="Q164" i="3"/>
  <c r="R164" i="3" s="1"/>
  <c r="S164" i="3" s="1"/>
  <c r="Q163" i="3"/>
  <c r="R163" i="3" s="1"/>
  <c r="S163" i="3" s="1"/>
  <c r="Q162" i="3"/>
  <c r="R162" i="3" s="1"/>
  <c r="S162" i="3" s="1"/>
  <c r="Q161" i="3"/>
  <c r="R161" i="3" s="1"/>
  <c r="S161" i="3" s="1"/>
  <c r="Q160" i="3"/>
  <c r="R160" i="3" s="1"/>
  <c r="S160" i="3" s="1"/>
  <c r="Q159" i="3"/>
  <c r="R159" i="3" s="1"/>
  <c r="S159" i="3" s="1"/>
  <c r="Q158" i="3"/>
  <c r="R158" i="3" s="1"/>
  <c r="S158" i="3" s="1"/>
  <c r="Q157" i="3"/>
  <c r="R157" i="3" s="1"/>
  <c r="S157" i="3" s="1"/>
  <c r="Q156" i="3"/>
  <c r="R156" i="3" s="1"/>
  <c r="S156" i="3" s="1"/>
  <c r="Q155" i="3"/>
  <c r="R155" i="3" s="1"/>
  <c r="S155" i="3" s="1"/>
  <c r="Q154" i="3"/>
  <c r="R154" i="3" s="1"/>
  <c r="S154" i="3" s="1"/>
  <c r="Q153" i="3"/>
  <c r="R153" i="3" s="1"/>
  <c r="S153" i="3" s="1"/>
  <c r="Q152" i="3"/>
  <c r="R152" i="3" s="1"/>
  <c r="S152" i="3" s="1"/>
  <c r="Q151" i="3"/>
  <c r="R151" i="3" s="1"/>
  <c r="S151" i="3" s="1"/>
  <c r="Q150" i="3"/>
  <c r="R150" i="3" s="1"/>
  <c r="S150" i="3" s="1"/>
  <c r="Q149" i="3"/>
  <c r="R149" i="3" s="1"/>
  <c r="S149" i="3" s="1"/>
  <c r="Q148" i="3"/>
  <c r="R148" i="3" s="1"/>
  <c r="S148" i="3" s="1"/>
  <c r="Q147" i="3"/>
  <c r="R147" i="3" s="1"/>
  <c r="S147" i="3" s="1"/>
  <c r="Q146" i="3"/>
  <c r="R146" i="3" s="1"/>
  <c r="S146" i="3" s="1"/>
  <c r="Q145" i="3"/>
  <c r="R145" i="3" s="1"/>
  <c r="S145" i="3" s="1"/>
  <c r="Q144" i="3"/>
  <c r="R144" i="3" s="1"/>
  <c r="S144" i="3" s="1"/>
  <c r="Q143" i="3"/>
  <c r="R143" i="3" s="1"/>
  <c r="S143" i="3" s="1"/>
  <c r="Q142" i="3"/>
  <c r="R142" i="3" s="1"/>
  <c r="S142" i="3" s="1"/>
  <c r="Q141" i="3"/>
  <c r="R141" i="3" s="1"/>
  <c r="S141" i="3" s="1"/>
  <c r="Q140" i="3"/>
  <c r="R140" i="3" s="1"/>
  <c r="S140" i="3" s="1"/>
  <c r="Q139" i="3"/>
  <c r="R139" i="3" s="1"/>
  <c r="S139" i="3" s="1"/>
  <c r="Q138" i="3"/>
  <c r="R138" i="3" s="1"/>
  <c r="S138" i="3" s="1"/>
  <c r="Q137" i="3"/>
  <c r="R137" i="3" s="1"/>
  <c r="S137" i="3" s="1"/>
  <c r="Q136" i="3"/>
  <c r="R136" i="3" s="1"/>
  <c r="S136" i="3" s="1"/>
  <c r="Q135" i="3"/>
  <c r="R135" i="3" s="1"/>
  <c r="S135" i="3" s="1"/>
  <c r="Q134" i="3"/>
  <c r="R134" i="3" s="1"/>
  <c r="S134" i="3" s="1"/>
  <c r="Q133" i="3"/>
  <c r="R133" i="3" s="1"/>
  <c r="S133" i="3" s="1"/>
  <c r="Q132" i="3"/>
  <c r="R132" i="3" s="1"/>
  <c r="S132" i="3" s="1"/>
  <c r="Q131" i="3"/>
  <c r="R131" i="3" s="1"/>
  <c r="S131" i="3" s="1"/>
  <c r="Q130" i="3"/>
  <c r="R130" i="3" s="1"/>
  <c r="S130" i="3" s="1"/>
  <c r="Q129" i="3"/>
  <c r="R129" i="3" s="1"/>
  <c r="S129" i="3" s="1"/>
  <c r="Q128" i="3"/>
  <c r="R128" i="3" s="1"/>
  <c r="S128" i="3" s="1"/>
  <c r="Q127" i="3"/>
  <c r="R127" i="3" s="1"/>
  <c r="S127" i="3" s="1"/>
  <c r="Q126" i="3"/>
  <c r="R126" i="3" s="1"/>
  <c r="S126" i="3" s="1"/>
  <c r="Q125" i="3"/>
  <c r="R125" i="3" s="1"/>
  <c r="S125" i="3" s="1"/>
  <c r="Q124" i="3"/>
  <c r="R124" i="3" s="1"/>
  <c r="S124" i="3" s="1"/>
  <c r="Q123" i="3"/>
  <c r="R123" i="3" s="1"/>
  <c r="S123" i="3" s="1"/>
  <c r="Q122" i="3"/>
  <c r="R122" i="3" s="1"/>
  <c r="S122" i="3" s="1"/>
  <c r="Q121" i="3"/>
  <c r="R121" i="3" s="1"/>
  <c r="S121" i="3" s="1"/>
  <c r="Q120" i="3"/>
  <c r="R120" i="3" s="1"/>
  <c r="S120" i="3" s="1"/>
  <c r="Q119" i="3"/>
  <c r="R119" i="3" s="1"/>
  <c r="S119" i="3" s="1"/>
  <c r="Q118" i="3"/>
  <c r="R118" i="3" s="1"/>
  <c r="S118" i="3" s="1"/>
  <c r="Q117" i="3"/>
  <c r="R117" i="3" s="1"/>
  <c r="S117" i="3" s="1"/>
  <c r="Q116" i="3"/>
  <c r="R116" i="3" s="1"/>
  <c r="S116" i="3" s="1"/>
  <c r="Q115" i="3"/>
  <c r="R115" i="3" s="1"/>
  <c r="S115" i="3" s="1"/>
  <c r="Q114" i="3"/>
  <c r="R114" i="3" s="1"/>
  <c r="S114" i="3" s="1"/>
  <c r="Q113" i="3"/>
  <c r="R113" i="3" s="1"/>
  <c r="S113" i="3" s="1"/>
  <c r="Q112" i="3"/>
  <c r="R112" i="3" s="1"/>
  <c r="S112" i="3" s="1"/>
  <c r="Q111" i="3"/>
  <c r="R111" i="3" s="1"/>
  <c r="S111" i="3" s="1"/>
  <c r="Q110" i="3"/>
  <c r="R110" i="3" s="1"/>
  <c r="S110" i="3" s="1"/>
  <c r="Q109" i="3"/>
  <c r="R109" i="3" s="1"/>
  <c r="S109" i="3" s="1"/>
  <c r="Q108" i="3"/>
  <c r="R108" i="3" s="1"/>
  <c r="S108" i="3" s="1"/>
  <c r="Q107" i="3"/>
  <c r="R107" i="3" s="1"/>
  <c r="S107" i="3" s="1"/>
  <c r="Q106" i="3"/>
  <c r="R106" i="3" s="1"/>
  <c r="S106" i="3" s="1"/>
  <c r="Q105" i="3"/>
  <c r="R105" i="3" s="1"/>
  <c r="S105" i="3" s="1"/>
  <c r="Q104" i="3"/>
  <c r="R104" i="3" s="1"/>
  <c r="S104" i="3" s="1"/>
  <c r="Q103" i="3"/>
  <c r="R103" i="3" s="1"/>
  <c r="S103" i="3" s="1"/>
  <c r="Q102" i="3"/>
  <c r="R102" i="3" s="1"/>
  <c r="S102" i="3" s="1"/>
  <c r="Q101" i="3"/>
  <c r="R101" i="3" s="1"/>
  <c r="S101" i="3" s="1"/>
  <c r="Q100" i="3"/>
  <c r="R100" i="3" s="1"/>
  <c r="S100" i="3" s="1"/>
  <c r="Q99" i="3"/>
  <c r="R99" i="3" s="1"/>
  <c r="S99" i="3" s="1"/>
  <c r="Q98" i="3"/>
  <c r="R98" i="3" s="1"/>
  <c r="S98" i="3" s="1"/>
  <c r="Q97" i="3"/>
  <c r="R97" i="3" s="1"/>
  <c r="S97" i="3" s="1"/>
  <c r="Q96" i="3"/>
  <c r="R96" i="3" s="1"/>
  <c r="S96" i="3" s="1"/>
  <c r="Q95" i="3"/>
  <c r="R95" i="3" s="1"/>
  <c r="S95" i="3" s="1"/>
  <c r="Q94" i="3"/>
  <c r="R94" i="3" s="1"/>
  <c r="S94" i="3" s="1"/>
  <c r="Q93" i="3"/>
  <c r="R93" i="3" s="1"/>
  <c r="S93" i="3" s="1"/>
  <c r="Q92" i="3"/>
  <c r="R92" i="3" s="1"/>
  <c r="S92" i="3" s="1"/>
  <c r="Q91" i="3"/>
  <c r="R91" i="3" s="1"/>
  <c r="S91" i="3" s="1"/>
  <c r="Q90" i="3"/>
  <c r="R90" i="3" s="1"/>
  <c r="S90" i="3" s="1"/>
  <c r="Q89" i="3"/>
  <c r="R89" i="3" s="1"/>
  <c r="S89" i="3" s="1"/>
  <c r="Q88" i="3"/>
  <c r="R88" i="3" s="1"/>
  <c r="S88" i="3" s="1"/>
  <c r="Q87" i="3"/>
  <c r="R87" i="3" s="1"/>
  <c r="S87" i="3" s="1"/>
  <c r="Q86" i="3"/>
  <c r="R86" i="3" s="1"/>
  <c r="S86" i="3" s="1"/>
  <c r="Q85" i="3"/>
  <c r="R85" i="3" s="1"/>
  <c r="S85" i="3" s="1"/>
  <c r="Q84" i="3"/>
  <c r="R84" i="3" s="1"/>
  <c r="S84" i="3" s="1"/>
  <c r="Q83" i="3"/>
  <c r="R83" i="3" s="1"/>
  <c r="S83" i="3" s="1"/>
  <c r="Q82" i="3"/>
  <c r="R82" i="3" s="1"/>
  <c r="S82" i="3" s="1"/>
  <c r="Q81" i="3"/>
  <c r="R81" i="3" s="1"/>
  <c r="S81" i="3" s="1"/>
  <c r="Q80" i="3"/>
  <c r="R80" i="3" s="1"/>
  <c r="S80" i="3" s="1"/>
  <c r="Q79" i="3"/>
  <c r="R79" i="3" s="1"/>
  <c r="S79" i="3" s="1"/>
  <c r="Q78" i="3"/>
  <c r="R78" i="3" s="1"/>
  <c r="S78" i="3" s="1"/>
  <c r="Q77" i="3"/>
  <c r="R77" i="3" s="1"/>
  <c r="S77" i="3" s="1"/>
  <c r="Q76" i="3"/>
  <c r="R76" i="3" s="1"/>
  <c r="S76" i="3" s="1"/>
  <c r="Q75" i="3"/>
  <c r="R75" i="3" s="1"/>
  <c r="S75" i="3" s="1"/>
  <c r="Q74" i="3"/>
  <c r="R74" i="3" s="1"/>
  <c r="S74" i="3" s="1"/>
  <c r="Q73" i="3"/>
  <c r="R73" i="3" s="1"/>
  <c r="S73" i="3" s="1"/>
  <c r="Q72" i="3"/>
  <c r="R72" i="3" s="1"/>
  <c r="S72" i="3" s="1"/>
  <c r="Q71" i="3"/>
  <c r="R71" i="3" s="1"/>
  <c r="S71" i="3" s="1"/>
  <c r="Q70" i="3"/>
  <c r="R70" i="3" s="1"/>
  <c r="S70" i="3" s="1"/>
  <c r="Q69" i="3"/>
  <c r="R69" i="3" s="1"/>
  <c r="S69" i="3" s="1"/>
  <c r="Q68" i="3"/>
  <c r="R68" i="3" s="1"/>
  <c r="S68" i="3" s="1"/>
  <c r="Q67" i="3"/>
  <c r="R67" i="3" s="1"/>
  <c r="S67" i="3" s="1"/>
  <c r="Q66" i="3"/>
  <c r="R66" i="3" s="1"/>
  <c r="S66" i="3" s="1"/>
  <c r="Q65" i="3"/>
  <c r="R65" i="3" s="1"/>
  <c r="S65" i="3" s="1"/>
  <c r="Q64" i="3"/>
  <c r="R64" i="3" s="1"/>
  <c r="S64" i="3" s="1"/>
  <c r="Q63" i="3"/>
  <c r="R63" i="3" s="1"/>
  <c r="S63" i="3" s="1"/>
  <c r="Q62" i="3"/>
  <c r="R62" i="3" s="1"/>
  <c r="S62" i="3" s="1"/>
  <c r="Q61" i="3"/>
  <c r="R61" i="3" s="1"/>
  <c r="S61" i="3" s="1"/>
  <c r="Q60" i="3"/>
  <c r="R60" i="3" s="1"/>
  <c r="S60" i="3" s="1"/>
  <c r="Q59" i="3"/>
  <c r="R59" i="3" s="1"/>
  <c r="S59" i="3" s="1"/>
  <c r="Q58" i="3"/>
  <c r="R58" i="3" s="1"/>
  <c r="S58" i="3" s="1"/>
  <c r="Q57" i="3"/>
  <c r="R57" i="3" s="1"/>
  <c r="S57" i="3" s="1"/>
  <c r="Q56" i="3"/>
  <c r="R56" i="3" s="1"/>
  <c r="S56" i="3" s="1"/>
  <c r="Q55" i="3"/>
  <c r="R55" i="3" s="1"/>
  <c r="S55" i="3" s="1"/>
  <c r="Q54" i="3"/>
  <c r="R54" i="3" s="1"/>
  <c r="S54" i="3" s="1"/>
  <c r="Q53" i="3"/>
  <c r="R53" i="3" s="1"/>
  <c r="S53" i="3" s="1"/>
  <c r="Q52" i="3"/>
  <c r="R52" i="3" s="1"/>
  <c r="S52" i="3" s="1"/>
  <c r="Q51" i="3"/>
  <c r="R51" i="3" s="1"/>
  <c r="S51" i="3" s="1"/>
  <c r="Q50" i="3"/>
  <c r="R50" i="3" s="1"/>
  <c r="S50" i="3" s="1"/>
  <c r="Q49" i="3"/>
  <c r="R49" i="3" s="1"/>
  <c r="S49" i="3" s="1"/>
  <c r="Q48" i="3"/>
  <c r="R48" i="3" s="1"/>
  <c r="S48" i="3" s="1"/>
  <c r="Q47" i="3"/>
  <c r="R47" i="3" s="1"/>
  <c r="S47" i="3" s="1"/>
  <c r="Q46" i="3"/>
  <c r="R46" i="3" s="1"/>
  <c r="S46" i="3" s="1"/>
  <c r="Q45" i="3"/>
  <c r="R45" i="3" s="1"/>
  <c r="S45" i="3" s="1"/>
  <c r="Q44" i="3"/>
  <c r="R44" i="3" s="1"/>
  <c r="S44" i="3" s="1"/>
  <c r="Q43" i="3"/>
  <c r="R43" i="3" s="1"/>
  <c r="S43" i="3" s="1"/>
  <c r="Q42" i="3"/>
  <c r="R42" i="3" s="1"/>
  <c r="S42" i="3" s="1"/>
  <c r="Q41" i="3"/>
  <c r="R41" i="3" s="1"/>
  <c r="S41" i="3" s="1"/>
  <c r="Q40" i="3"/>
  <c r="R40" i="3" s="1"/>
  <c r="S40" i="3" s="1"/>
  <c r="Q39" i="3"/>
  <c r="R39" i="3" s="1"/>
  <c r="S39" i="3" s="1"/>
  <c r="Q38" i="3"/>
  <c r="R38" i="3" s="1"/>
  <c r="S38" i="3" s="1"/>
  <c r="Q37" i="3"/>
  <c r="R37" i="3" s="1"/>
  <c r="S37" i="3" s="1"/>
  <c r="Q36" i="3"/>
  <c r="R36" i="3" s="1"/>
  <c r="S36" i="3" s="1"/>
  <c r="Q35" i="3"/>
  <c r="R35" i="3" s="1"/>
  <c r="S35" i="3" s="1"/>
  <c r="Q34" i="3"/>
  <c r="R34" i="3" s="1"/>
  <c r="S34" i="3" s="1"/>
  <c r="Q33" i="3"/>
  <c r="R33" i="3" s="1"/>
  <c r="S33" i="3" s="1"/>
  <c r="Q32" i="3"/>
  <c r="R32" i="3" s="1"/>
  <c r="S32" i="3" s="1"/>
  <c r="Q31" i="3"/>
  <c r="R31" i="3" s="1"/>
  <c r="S31" i="3" s="1"/>
  <c r="Q30" i="3"/>
  <c r="R30" i="3" s="1"/>
  <c r="S30" i="3" s="1"/>
  <c r="Q29" i="3"/>
  <c r="R29" i="3" s="1"/>
  <c r="S29" i="3" s="1"/>
  <c r="Q28" i="3"/>
  <c r="R28" i="3" s="1"/>
  <c r="S28" i="3" s="1"/>
  <c r="Q27" i="3"/>
  <c r="R27" i="3" s="1"/>
  <c r="S27" i="3" s="1"/>
  <c r="Q26" i="3"/>
  <c r="R26" i="3" s="1"/>
  <c r="S26" i="3" s="1"/>
  <c r="Q25" i="3"/>
  <c r="R25" i="3" s="1"/>
  <c r="S25" i="3" s="1"/>
  <c r="Q24" i="3"/>
  <c r="R24" i="3" s="1"/>
  <c r="S24" i="3" s="1"/>
  <c r="Q23" i="3"/>
  <c r="R23" i="3" s="1"/>
  <c r="S23" i="3" s="1"/>
  <c r="Q22" i="3"/>
  <c r="R22" i="3" s="1"/>
  <c r="S22" i="3" s="1"/>
  <c r="Q21" i="3"/>
  <c r="R21" i="3" s="1"/>
  <c r="S21" i="3" s="1"/>
  <c r="Q20" i="3"/>
  <c r="R20" i="3" s="1"/>
  <c r="S20" i="3" s="1"/>
  <c r="Q19" i="3"/>
  <c r="R19" i="3" s="1"/>
  <c r="S19" i="3" s="1"/>
  <c r="Q18" i="3"/>
  <c r="R18" i="3" s="1"/>
  <c r="S18" i="3" s="1"/>
  <c r="Q17" i="3"/>
  <c r="R17" i="3" s="1"/>
  <c r="S17" i="3" s="1"/>
  <c r="Q16" i="3"/>
  <c r="R16" i="3" s="1"/>
  <c r="S16" i="3" s="1"/>
  <c r="Q15" i="3"/>
  <c r="R15" i="3" s="1"/>
  <c r="S15" i="3" s="1"/>
  <c r="Q14" i="3"/>
  <c r="R14" i="3" s="1"/>
  <c r="S14" i="3" s="1"/>
  <c r="Q13" i="3"/>
  <c r="R13" i="3" s="1"/>
  <c r="S13" i="3" s="1"/>
  <c r="Q12" i="3"/>
  <c r="R12" i="3" s="1"/>
  <c r="S12" i="3" s="1"/>
  <c r="Q11" i="3"/>
  <c r="R11" i="3" s="1"/>
  <c r="S11" i="3" s="1"/>
  <c r="Q10" i="3"/>
  <c r="R10" i="3" s="1"/>
  <c r="S10" i="3" s="1"/>
  <c r="Q9" i="3"/>
  <c r="R9" i="3" s="1"/>
  <c r="S9" i="3" s="1"/>
  <c r="Q8" i="3"/>
  <c r="R8" i="3" s="1"/>
  <c r="S8" i="3" s="1"/>
  <c r="Q7" i="3"/>
  <c r="R7" i="3" s="1"/>
  <c r="S7" i="3" s="1"/>
  <c r="Q6" i="3"/>
  <c r="R6" i="3" s="1"/>
  <c r="S6" i="3" s="1"/>
  <c r="Q5" i="3"/>
  <c r="R5" i="3" s="1"/>
  <c r="S5" i="3" s="1"/>
  <c r="Q4" i="3"/>
  <c r="R4" i="3" s="1"/>
  <c r="S4" i="3" l="1"/>
  <c r="G7" i="1"/>
  <c r="Q28" i="1" l="1"/>
  <c r="Q27" i="1"/>
  <c r="Q26" i="1"/>
  <c r="Q25" i="1"/>
  <c r="Q24" i="1"/>
  <c r="O24" i="1" l="1"/>
  <c r="N24" i="1"/>
  <c r="M24" i="1"/>
  <c r="L24" i="1"/>
  <c r="K24" i="1"/>
  <c r="J24" i="1"/>
  <c r="I24" i="1"/>
  <c r="H24" i="1"/>
  <c r="G24" i="1"/>
  <c r="F24" i="1"/>
  <c r="E24" i="1"/>
  <c r="D24" i="1"/>
  <c r="C24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C11" i="2"/>
  <c r="E11" i="2"/>
  <c r="F11" i="2"/>
  <c r="C10" i="2"/>
  <c r="E10" i="2"/>
  <c r="F10" i="2"/>
  <c r="C9" i="2"/>
  <c r="E9" i="2"/>
  <c r="F9" i="2"/>
  <c r="C8" i="2"/>
  <c r="E8" i="2"/>
  <c r="F8" i="2"/>
  <c r="C7" i="2"/>
  <c r="E7" i="2"/>
  <c r="F7" i="2"/>
  <c r="C6" i="2"/>
  <c r="E6" i="2"/>
  <c r="F6" i="2"/>
  <c r="C5" i="2"/>
  <c r="E5" i="2"/>
  <c r="F5" i="2"/>
  <c r="C4" i="2"/>
  <c r="E4" i="2"/>
  <c r="E12" i="2"/>
  <c r="F4" i="2"/>
  <c r="C12" i="2"/>
  <c r="D13" i="1"/>
  <c r="D14" i="1"/>
  <c r="D15" i="1"/>
  <c r="D16" i="1"/>
  <c r="D17" i="1"/>
  <c r="D18" i="1"/>
  <c r="E18" i="1"/>
  <c r="E17" i="1"/>
  <c r="C17" i="1"/>
  <c r="E16" i="1"/>
  <c r="C16" i="1"/>
  <c r="E15" i="1"/>
  <c r="C15" i="1"/>
  <c r="E14" i="1"/>
  <c r="C14" i="1"/>
  <c r="E13" i="1"/>
  <c r="E19" i="1"/>
  <c r="D19" i="1"/>
  <c r="C13" i="1"/>
  <c r="J8" i="1"/>
  <c r="J6" i="1"/>
  <c r="J5" i="1"/>
  <c r="P24" i="1"/>
  <c r="P25" i="1"/>
  <c r="P26" i="1"/>
  <c r="P27" i="1"/>
  <c r="P28" i="1"/>
</calcChain>
</file>

<file path=xl/sharedStrings.xml><?xml version="1.0" encoding="utf-8"?>
<sst xmlns="http://schemas.openxmlformats.org/spreadsheetml/2006/main" count="1645" uniqueCount="866">
  <si>
    <t>BIOMASS SURPLUS FINDER - Radius Search</t>
  </si>
  <si>
    <t>INPUTS</t>
  </si>
  <si>
    <t>SELECTED LOCATION</t>
  </si>
  <si>
    <t>CATCHMENT TOTALS</t>
  </si>
  <si>
    <t>State</t>
  </si>
  <si>
    <t>Haryana</t>
  </si>
  <si>
    <t>Latitude (approx)</t>
  </si>
  <si>
    <t>Total surplus in radius (KTPA)</t>
  </si>
  <si>
    <t>District</t>
  </si>
  <si>
    <t>Hisar</t>
  </si>
  <si>
    <t>Longitude (approx)</t>
  </si>
  <si>
    <t>CBG potential in radius (TPD)</t>
  </si>
  <si>
    <t>Radius (km)</t>
  </si>
  <si>
    <t>Districts within radius</t>
  </si>
  <si>
    <t>Radius used (km)</t>
  </si>
  <si>
    <t>Road factor (1.0 = straight line)</t>
  </si>
  <si>
    <t>Status</t>
  </si>
  <si>
    <t>Largest feedstock</t>
  </si>
  <si>
    <t>TOP 5 FEEDSTOCKS WITHIN RADIUS</t>
  </si>
  <si>
    <t>Rank</t>
  </si>
  <si>
    <t>Feedstock</t>
  </si>
  <si>
    <t>Surplus (KTPA)</t>
  </si>
  <si>
    <t>% of catchment</t>
  </si>
  <si>
    <t>Other feedstocks</t>
  </si>
  <si>
    <t>Total</t>
  </si>
  <si>
    <t>TOP 5 DISTRICTS WITHIN RADIUS (ranked by total surplus)</t>
  </si>
  <si>
    <t>Distance (km)</t>
  </si>
  <si>
    <t>Total Surplus (KTPA)</t>
  </si>
  <si>
    <t>Paddy Straw</t>
  </si>
  <si>
    <t>Wheat Straw</t>
  </si>
  <si>
    <t>Maize Stover</t>
  </si>
  <si>
    <t>Mustard Stalk</t>
  </si>
  <si>
    <t>Cane Trash</t>
  </si>
  <si>
    <t>Press Mud</t>
  </si>
  <si>
    <t>Soya Trash</t>
  </si>
  <si>
    <t>OF MSW</t>
  </si>
  <si>
    <t>Largest Feedstock</t>
  </si>
  <si>
    <t>CBG Potential (TPD)</t>
  </si>
  <si>
    <t>row#</t>
  </si>
  <si>
    <t>If fewer than 5 districts fall inside the radius, the extra rows stay blank. Full list with distances: Data sheet (districts inside the radius are shaded green).</t>
  </si>
  <si>
    <t>Coordinates are approximate district-HQ points; distances are straight-line x road factor. See Assumptions for sources and caveats.</t>
  </si>
  <si>
    <t>Feedstock totals within radius (helper for Finder)</t>
  </si>
  <si>
    <t>Surplus in radius (KTPA)</t>
  </si>
  <si>
    <t>CBG yield</t>
  </si>
  <si>
    <t>CBG potential (TPD)</t>
  </si>
  <si>
    <t>Rank score</t>
  </si>
  <si>
    <t>DISTRICT DATA - surplus by feedstock (KTPA), coordinates, and live distance to the selected district</t>
  </si>
  <si>
    <t>CBG yield -&gt;</t>
  </si>
  <si>
    <t>Sr</t>
  </si>
  <si>
    <t>Key</t>
  </si>
  <si>
    <t>Lat (approx)</t>
  </si>
  <si>
    <t>Lon (approx)</t>
  </si>
  <si>
    <t>Paddy Straw (KTPA)</t>
  </si>
  <si>
    <t>Wheat Straw (KTPA)</t>
  </si>
  <si>
    <t>Maize Stover (KTPA)</t>
  </si>
  <si>
    <t>Mustard Stalk (KTPA)</t>
  </si>
  <si>
    <t>Cane Trash (KTPA)</t>
  </si>
  <si>
    <t>Press Mud (KTPA)</t>
  </si>
  <si>
    <t>Soya Trash (KTPA)</t>
  </si>
  <si>
    <t>OF MSW (KTPA)</t>
  </si>
  <si>
    <t>In Radius (1/0)</t>
  </si>
  <si>
    <t>Rank Score</t>
  </si>
  <si>
    <t>Andaman And Nicobar Islands</t>
  </si>
  <si>
    <t>Nicobars</t>
  </si>
  <si>
    <t>North And Middle Andaman</t>
  </si>
  <si>
    <t>South Andamans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</si>
  <si>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</si>
  <si>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</si>
  <si>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</si>
  <si>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</si>
  <si>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</si>
  <si>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</si>
  <si>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</si>
  <si>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</si>
  <si>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</si>
  <si>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</si>
  <si>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</si>
  <si>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</si>
  <si>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</si>
  <si>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</si>
  <si>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</si>
  <si>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</si>
  <si>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</si>
  <si>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</si>
  <si>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</si>
  <si>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</si>
  <si>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</si>
  <si>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</si>
  <si>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</si>
  <si>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</si>
  <si>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</si>
  <si>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</si>
  <si>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Y.S.R. Kadapa</t>
  </si>
  <si>
    <t>Arunachal Pradesh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</si>
  <si>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</si>
  <si>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</si>
  <si>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</si>
  <si>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</si>
  <si>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</si>
  <si>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</si>
  <si>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</si>
  <si>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</si>
  <si>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</si>
  <si>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</si>
  <si>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</si>
  <si>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</si>
  <si>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</si>
  <si>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</si>
  <si>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</si>
  <si>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</si>
  <si>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</si>
  <si>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</si>
  <si>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</si>
  <si>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</si>
  <si>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</si>
  <si>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</si>
  <si>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</si>
  <si>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</si>
  <si>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</si>
  <si>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</si>
  <si>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</si>
  <si>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</si>
  <si>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</si>
  <si>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</si>
  <si>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</si>
  <si>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</si>
  <si>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</si>
  <si>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</si>
  <si>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</si>
  <si>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</si>
  <si>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</si>
  <si>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</si>
  <si>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</si>
  <si>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</si>
  <si>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</si>
  <si>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</si>
  <si>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</si>
  <si>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</si>
  <si>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</si>
  <si>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</si>
  <si>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</si>
  <si>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</si>
  <si>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</si>
  <si>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</si>
  <si>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</si>
  <si>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</si>
  <si>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</si>
  <si>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</si>
  <si>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</si>
  <si>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Sribhumi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</si>
  <si>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</si>
  <si>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</si>
  <si>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</si>
  <si>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</si>
  <si>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</si>
  <si>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</si>
  <si>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</si>
  <si>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</si>
  <si>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</si>
  <si>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</si>
  <si>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</si>
  <si>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</si>
  <si>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</si>
  <si>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</si>
  <si>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</si>
  <si>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</si>
  <si>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</si>
  <si>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</si>
  <si>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</si>
  <si>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</si>
  <si>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</si>
  <si>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</si>
  <si>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</si>
  <si>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</si>
  <si>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</si>
  <si>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</si>
  <si>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</si>
  <si>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</si>
  <si>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</si>
  <si>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</si>
  <si>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</si>
  <si>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</si>
  <si>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</si>
  <si>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</si>
  <si>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</si>
  <si>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</si>
  <si>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</si>
  <si>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</si>
  <si>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</si>
  <si>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</si>
  <si>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</si>
  <si>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</si>
  <si>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</si>
  <si>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</si>
  <si>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</si>
  <si>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</si>
  <si>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</si>
  <si>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</si>
  <si>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</si>
  <si>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</si>
  <si>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</si>
  <si>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</si>
  <si>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</si>
  <si>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</si>
  <si>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</si>
  <si>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</si>
  <si>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</si>
  <si>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</si>
  <si>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</si>
  <si>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</si>
  <si>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</si>
  <si>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</si>
  <si>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</si>
  <si>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</si>
  <si>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</si>
  <si>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</si>
  <si>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</si>
  <si>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</si>
  <si>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</si>
  <si>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</si>
  <si>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</si>
  <si>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</si>
  <si>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</si>
  <si>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</si>
  <si>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</si>
  <si>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</si>
  <si>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</si>
  <si>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Goa</t>
  </si>
  <si>
    <t>North Goa</t>
  </si>
  <si>
    <t>South Goa</t>
  </si>
  <si>
    <t>Gujarat</t>
  </si>
  <si>
    <t>Ahmedabad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</si>
  <si>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</si>
  <si>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</si>
  <si>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</si>
  <si>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</si>
  <si>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</si>
  <si>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</si>
  <si>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</si>
  <si>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</si>
  <si>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</si>
  <si>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</si>
  <si>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</si>
  <si>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</si>
  <si>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</si>
  <si>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</si>
  <si>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</si>
  <si>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</si>
  <si>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</si>
  <si>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</si>
  <si>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</si>
  <si>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</si>
  <si>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</si>
  <si>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</si>
  <si>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</si>
  <si>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</si>
  <si>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</si>
  <si>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</si>
  <si>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</si>
  <si>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</si>
  <si>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</si>
  <si>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</si>
  <si>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</si>
  <si>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</si>
  <si>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</si>
  <si>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</si>
  <si>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</si>
  <si>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</si>
  <si>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</si>
  <si>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</si>
  <si>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</si>
  <si>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</si>
  <si>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</si>
  <si>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</si>
  <si>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</si>
  <si>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</si>
  <si>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</si>
  <si>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</si>
  <si>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</si>
  <si>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</si>
  <si>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</si>
  <si>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</si>
  <si>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</si>
  <si>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</si>
  <si>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</si>
  <si>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</si>
  <si>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</si>
  <si>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</si>
  <si>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</si>
  <si>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</si>
  <si>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</si>
  <si>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</si>
  <si>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</si>
  <si>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</si>
  <si>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</si>
  <si>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</si>
  <si>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</si>
  <si>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</si>
  <si>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</si>
  <si>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</si>
  <si>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</si>
  <si>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</si>
  <si>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</si>
  <si>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</si>
  <si>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</si>
  <si>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</si>
  <si>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</si>
  <si>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</si>
  <si>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</si>
  <si>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</si>
  <si>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</si>
  <si>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</si>
  <si>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</si>
  <si>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</si>
  <si>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</si>
  <si>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</si>
  <si>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</si>
  <si>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</si>
  <si>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</si>
  <si>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</si>
  <si>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</si>
  <si>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</si>
  <si>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</si>
  <si>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</si>
  <si>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</si>
  <si>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</si>
  <si>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</si>
  <si>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</si>
  <si>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</si>
  <si>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</si>
  <si>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</si>
  <si>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</si>
  <si>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</si>
  <si>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</si>
  <si>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</si>
  <si>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</si>
  <si>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</si>
  <si>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</si>
  <si>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</si>
  <si>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</si>
  <si>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</si>
  <si>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</si>
  <si>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</si>
  <si>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Bagalkote</t>
  </si>
  <si>
    <t>Ballari</t>
  </si>
  <si>
    <t>Belagavi</t>
  </si>
  <si>
    <t>Bengaluru Rural</t>
  </si>
  <si>
    <t>Bengaluru South</t>
  </si>
  <si>
    <t>Bengaluru Urban</t>
  </si>
  <si>
    <t>Bidar</t>
  </si>
  <si>
    <t>Chamarajanagar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</si>
  <si>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</si>
  <si>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</si>
  <si>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</si>
  <si>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</si>
  <si>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</si>
  <si>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</si>
  <si>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</si>
  <si>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</si>
  <si>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</si>
  <si>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</si>
  <si>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</si>
  <si>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</si>
  <si>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</si>
  <si>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</si>
  <si>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</si>
  <si>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</si>
  <si>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</si>
  <si>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</si>
  <si>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</si>
  <si>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</si>
  <si>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</si>
  <si>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</si>
  <si>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</si>
  <si>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</si>
  <si>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</si>
  <si>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</si>
  <si>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</si>
  <si>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</si>
  <si>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</si>
  <si>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</si>
  <si>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</si>
  <si>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</si>
  <si>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</si>
  <si>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</si>
  <si>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</si>
  <si>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</si>
  <si>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</si>
  <si>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</si>
  <si>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</si>
  <si>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</si>
  <si>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</si>
  <si>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</si>
  <si>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</si>
  <si>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</si>
  <si>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</si>
  <si>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</si>
  <si>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</si>
  <si>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</si>
  <si>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</si>
  <si>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</si>
  <si>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</si>
  <si>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</si>
  <si>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</si>
  <si>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</si>
  <si>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</si>
  <si>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</si>
  <si>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</si>
  <si>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</si>
  <si>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</si>
  <si>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</si>
  <si>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</si>
  <si>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</si>
  <si>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</si>
  <si>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</si>
  <si>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</si>
  <si>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</si>
  <si>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</si>
  <si>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</si>
  <si>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</si>
  <si>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</si>
  <si>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</si>
  <si>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Narmadapuram</t>
  </si>
  <si>
    <t>Narsimhapur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</si>
  <si>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</si>
  <si>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</si>
  <si>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</si>
  <si>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</si>
  <si>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</si>
  <si>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</si>
  <si>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</si>
  <si>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</si>
  <si>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</si>
  <si>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</si>
  <si>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</si>
  <si>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</si>
  <si>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</si>
  <si>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</si>
  <si>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</si>
  <si>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</si>
  <si>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</si>
  <si>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</si>
  <si>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</si>
  <si>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</si>
  <si>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</si>
  <si>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</si>
  <si>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</si>
  <si>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</si>
  <si>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</si>
  <si>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</si>
  <si>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</si>
  <si>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</si>
  <si>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</si>
  <si>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</si>
  <si>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</si>
  <si>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</si>
  <si>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</si>
  <si>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</si>
  <si>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</si>
  <si>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</si>
  <si>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</si>
  <si>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</si>
  <si>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</si>
  <si>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</si>
  <si>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</si>
  <si>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</si>
  <si>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</si>
  <si>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</si>
  <si>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</si>
  <si>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</si>
  <si>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</si>
  <si>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</si>
  <si>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</si>
  <si>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</si>
  <si>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</si>
  <si>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</si>
  <si>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</si>
  <si>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</si>
  <si>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</si>
  <si>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</si>
  <si>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</si>
  <si>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</si>
  <si>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</si>
  <si>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</si>
  <si>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</si>
  <si>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</si>
  <si>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</si>
  <si>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</si>
  <si>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</si>
  <si>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</si>
  <si>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</si>
  <si>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</si>
  <si>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</si>
  <si>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</si>
  <si>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</si>
  <si>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</si>
  <si>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</si>
  <si>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</si>
  <si>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</si>
  <si>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</si>
  <si>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</si>
  <si>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</si>
  <si>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</si>
  <si>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</si>
  <si>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</si>
  <si>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</si>
  <si>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</si>
  <si>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</si>
  <si>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</si>
  <si>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</si>
  <si>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</si>
  <si>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</si>
  <si>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</si>
  <si>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</si>
  <si>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Nagaland</t>
  </si>
  <si>
    <t>Chumoukedima</t>
  </si>
  <si>
    <t>Dimapur</t>
  </si>
  <si>
    <t>Kiphire</t>
  </si>
  <si>
    <t>Kohima</t>
  </si>
  <si>
    <t>Longleng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</si>
  <si>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</si>
  <si>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</si>
  <si>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</si>
  <si>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</si>
  <si>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</si>
  <si>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</si>
  <si>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</si>
  <si>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</si>
  <si>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</si>
  <si>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</si>
  <si>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</si>
  <si>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Odisha</t>
  </si>
  <si>
    <t>Angul</t>
  </si>
  <si>
    <t>Balangir</t>
  </si>
  <si>
    <t>Balasore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</si>
  <si>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</si>
  <si>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</si>
  <si>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</si>
  <si>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</si>
  <si>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</si>
  <si>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</si>
  <si>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</si>
  <si>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</si>
  <si>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</si>
  <si>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</si>
  <si>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</si>
  <si>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</si>
  <si>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</si>
  <si>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</si>
  <si>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</si>
  <si>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</si>
  <si>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</si>
  <si>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</si>
  <si>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</si>
  <si>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</si>
  <si>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</si>
  <si>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</si>
  <si>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</si>
  <si>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</si>
  <si>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</si>
  <si>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</si>
  <si>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</si>
  <si>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</si>
  <si>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</si>
  <si>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</si>
  <si>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</si>
  <si>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</si>
  <si>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</si>
  <si>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</si>
  <si>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</si>
  <si>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</si>
  <si>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</si>
  <si>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</si>
  <si>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</si>
  <si>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</si>
  <si>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</si>
  <si>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</si>
  <si>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</si>
  <si>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</si>
  <si>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</si>
  <si>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</si>
  <si>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</si>
  <si>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</si>
  <si>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S.A.S Nagar</t>
  </si>
  <si>
    <t>Sangrur</t>
  </si>
  <si>
    <t>Shahid Bhagat Singh Nagar</t>
  </si>
  <si>
    <t>Sri Muktsar Sahib</t>
  </si>
  <si>
    <t>Tarn Taran</t>
  </si>
  <si>
    <t>Rajasthan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</si>
  <si>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</si>
  <si>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</si>
  <si>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</si>
  <si>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</si>
  <si>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</si>
  <si>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</si>
  <si>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</si>
  <si>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</si>
  <si>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</si>
  <si>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</si>
  <si>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</si>
  <si>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</si>
  <si>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</si>
  <si>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</si>
  <si>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</si>
  <si>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</si>
  <si>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</si>
  <si>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</si>
  <si>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</si>
  <si>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</si>
  <si>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</si>
  <si>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</si>
  <si>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</si>
  <si>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</si>
  <si>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</si>
  <si>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</si>
  <si>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</si>
  <si>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</si>
  <si>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</si>
  <si>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</si>
  <si>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</si>
  <si>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</si>
  <si>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</si>
  <si>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</si>
  <si>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</si>
  <si>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</si>
  <si>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</si>
  <si>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</si>
  <si>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</si>
  <si>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</si>
  <si>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</si>
  <si>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</si>
  <si>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</si>
  <si>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</si>
  <si>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</si>
  <si>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</si>
  <si>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</si>
  <si>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</si>
  <si>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</si>
  <si>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</si>
  <si>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</si>
  <si>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</si>
  <si>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</si>
  <si>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</si>
  <si>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</si>
  <si>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</si>
  <si>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</si>
  <si>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</si>
  <si>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</si>
  <si>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</si>
  <si>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</si>
  <si>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</si>
  <si>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</si>
  <si>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</si>
  <si>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</si>
  <si>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</si>
  <si>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</si>
  <si>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</si>
  <si>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</si>
  <si>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</si>
  <si>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</si>
  <si>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</si>
  <si>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</si>
  <si>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</si>
  <si>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</si>
  <si>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</si>
  <si>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</si>
  <si>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</si>
  <si>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</si>
  <si>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</si>
  <si>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</si>
  <si>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</si>
  <si>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</si>
  <si>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</si>
  <si>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</si>
  <si>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</si>
  <si>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</si>
  <si>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</si>
  <si>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</si>
  <si>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 Kothagudem</t>
  </si>
  <si>
    <t>Hanumakonda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</si>
  <si>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</si>
  <si>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</si>
  <si>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</si>
  <si>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</si>
  <si>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</si>
  <si>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</si>
  <si>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</si>
  <si>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</si>
  <si>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</si>
  <si>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</si>
  <si>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</si>
  <si>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</si>
  <si>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</si>
  <si>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</si>
  <si>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</si>
  <si>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</si>
  <si>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</si>
  <si>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</si>
  <si>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</si>
  <si>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</si>
  <si>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</si>
  <si>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</si>
  <si>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</si>
  <si>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</si>
  <si>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</si>
  <si>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</si>
  <si>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</si>
  <si>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</si>
  <si>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</si>
  <si>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The Dadra And Nagar Haveli And Daman And Diu</t>
  </si>
  <si>
    <t>Dadra And Nagar Haveli</t>
  </si>
  <si>
    <t>Daman</t>
  </si>
  <si>
    <t>Diu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</si>
  <si>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</si>
  <si>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</si>
  <si>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</si>
  <si>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</si>
  <si>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</si>
  <si>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</si>
  <si>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</si>
  <si>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</si>
  <si>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</si>
  <si>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</si>
  <si>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</si>
  <si>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</si>
  <si>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</si>
  <si>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</si>
  <si>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</si>
  <si>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</si>
  <si>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</si>
  <si>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</si>
  <si>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</si>
  <si>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</si>
  <si>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</si>
  <si>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</si>
  <si>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</si>
  <si>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</si>
  <si>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</si>
  <si>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</si>
  <si>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</si>
  <si>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</si>
  <si>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</si>
  <si>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</si>
  <si>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</si>
  <si>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</si>
  <si>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</si>
  <si>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</si>
  <si>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</si>
  <si>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</si>
  <si>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</si>
  <si>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</si>
  <si>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</si>
  <si>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</si>
  <si>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</si>
  <si>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</si>
  <si>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</si>
  <si>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</si>
  <si>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</si>
  <si>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</si>
  <si>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</si>
  <si>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</si>
  <si>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</si>
  <si>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</si>
  <si>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</si>
  <si>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</si>
  <si>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</si>
  <si>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</si>
  <si>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</si>
  <si>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</si>
  <si>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</si>
  <si>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</si>
  <si>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</si>
  <si>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</si>
  <si>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</si>
  <si>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</si>
  <si>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</si>
  <si>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</si>
  <si>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</si>
  <si>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</si>
  <si>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</si>
  <si>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</si>
  <si>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</si>
  <si>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</si>
  <si>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</si>
  <si>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</si>
  <si>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</si>
  <si>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</si>
  <si>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</si>
  <si>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</si>
  <si>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</si>
  <si>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</si>
  <si>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</si>
  <si>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</si>
  <si>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</si>
  <si>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</si>
  <si>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</si>
  <si>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</si>
  <si>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</si>
  <si>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</si>
  <si>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</si>
  <si>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</si>
  <si>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</si>
  <si>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</si>
  <si>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</si>
  <si>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</si>
  <si>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</si>
  <si>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</si>
  <si>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</si>
  <si>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</si>
  <si>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</si>
  <si>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</si>
  <si>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</si>
  <si>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</si>
  <si>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</si>
  <si>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</si>
  <si>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</si>
  <si>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</si>
  <si>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</si>
  <si>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</si>
  <si>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</si>
  <si>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</si>
  <si>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</si>
  <si>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</si>
  <si>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</si>
  <si>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</si>
  <si>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</si>
  <si>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</si>
  <si>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</si>
  <si>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</si>
  <si>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</si>
  <si>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</si>
  <si>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</si>
  <si>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</si>
  <si>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ASSUMPTIONS</t>
  </si>
  <si>
    <t>Blue = editable input. Every output on Finder recalculates from these.</t>
  </si>
  <si>
    <t>CBG yield (t CBG / t feed)</t>
  </si>
  <si>
    <t>Source</t>
  </si>
  <si>
    <t>Surplus column in CBG Analysis &gt; Biomass Data</t>
  </si>
  <si>
    <t>Costing model - Yield sheet (Paddy Straw)</t>
  </si>
  <si>
    <t>Col Z (KTPA)</t>
  </si>
  <si>
    <t>NOT in costing model - placeholder = Paddy Straw yield, overwrite</t>
  </si>
  <si>
    <t>Col AA (KTPA)</t>
  </si>
  <si>
    <t>Costing model - Yield sheet (Maize Stover)</t>
  </si>
  <si>
    <t>Col G (KTPA)</t>
  </si>
  <si>
    <t>NOT in costing model - placeholder = Maize Stover yield, overwrite</t>
  </si>
  <si>
    <t>Col AB (KTPA)</t>
  </si>
  <si>
    <t>Costing model - Yield sheet (Cane Trash)</t>
  </si>
  <si>
    <t>Col AC (KTPA)</t>
  </si>
  <si>
    <t>Costing model - Yield sheet (Press Mud)</t>
  </si>
  <si>
    <t>Col N (KTPA)</t>
  </si>
  <si>
    <t>Costing model - Yield sheet (Soya Trash)</t>
  </si>
  <si>
    <t>Col J (KTPA)</t>
  </si>
  <si>
    <t>Costing model - Yield sheet (OF MSW)</t>
  </si>
  <si>
    <t>Col S (KTPA)</t>
  </si>
  <si>
    <t>Plant operating days p.a.</t>
  </si>
  <si>
    <t>Costing model - Summary sheet (Plant Operating Days)</t>
  </si>
  <si>
    <t>Earth radius (km)</t>
  </si>
  <si>
    <t>Standard mean radius for haversine distance</t>
  </si>
  <si>
    <t>NOTES</t>
  </si>
  <si>
    <t>1. Surplus data: CBG Analysis 21_09_2026 &gt; Biomass Data (DES APY 2022-23 basis), 744 districts / 34 states &amp; UTs, pasted as values.</t>
  </si>
  <si>
    <t>2. Total here = all 8 feedstocks. The source sheet's own "Total Biomass Available" (col T) covers only Maize + Soya + Press Mud + OF MSW, so totals will not match it.</t>
  </si>
  <si>
    <t>3. District coordinates are APPROXIMATE district-HQ points (+/- ~10-20 km), compiled for this model - not surveyed. Fine for screening, not for site selection.</t>
  </si>
  <si>
    <t>4. Distance = straight-line (haversine) x Road factor on Finder. Road distance in India typically runs ~1.2-1.4x straight-line.</t>
  </si>
  <si>
    <t>5. A district is counted in the radius if its HQ point falls inside it - its FULL surplus is counted, even if part of the district lies outside.</t>
  </si>
  <si>
    <t>6. Wheat Straw and Mustard Stalk have no CBG yield in the costing model - placeholders (yellow). Overwrite with tested yields.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</si>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</sst>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\(#,##0.0\);\-"/>
    <numFmt numFmtId="165" formatCode="#,##0&quot; km&quot;"/>
    <numFmt numFmtId="166" formatCode="#,##0;\(#,##0\);\-"/>
    <numFmt numFmtId="167" formatCode="0.00\x"/>
    <numFmt numFmtId="168" formatCode="0.0%"/>
  </numFmts>
  <fonts count="18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008000"/>
      <name val="Arial"/>
      <charset val="1"/>
    </font>
    <font>
      <b/>
      <sz val="12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8"/>
      <color rgb="FFBFBFBF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i/>
      <sz val="10"/>
      <color rgb="FF008000"/>
      <name val="Arial"/>
      <charset val="1"/>
    </font>
    <font>
      <sz val="10"/>
      <color rgb="FF0000FF"/>
      <name val="Arial"/>
      <charset val="1"/>
    </font>
    <font>
      <b/>
      <sz val="1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8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/>
    </xf>
    <xf numFmtId="164" fontId="10" fillId="5" borderId="1" xfId="0" applyNumberFormat="1" applyFont="1" applyFill="1" applyBorder="1" applyAlignment="1">
      <alignment vertical="center"/>
    </xf>
    <xf numFmtId="168" fontId="10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7" fillId="0" borderId="1" xfId="0" applyFont="1" applyBorder="1" applyAlignment="1">
      <alignment vertical="center"/>
    </xf>
    <xf numFmtId="166" fontId="6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/>
    <xf numFmtId="0" fontId="13" fillId="0" borderId="0" xfId="0" applyFont="1"/>
    <xf numFmtId="164" fontId="13" fillId="0" borderId="0" xfId="0" applyNumberFormat="1" applyFont="1"/>
    <xf numFmtId="168" fontId="6" fillId="0" borderId="0" xfId="0" applyNumberFormat="1" applyFont="1"/>
    <xf numFmtId="164" fontId="4" fillId="0" borderId="0" xfId="0" applyNumberFormat="1" applyFont="1"/>
    <xf numFmtId="0" fontId="14" fillId="0" borderId="0" xfId="0" applyFont="1"/>
    <xf numFmtId="0" fontId="2" fillId="0" borderId="0" xfId="0" applyFont="1" applyAlignment="1">
      <alignment horizontal="right"/>
    </xf>
    <xf numFmtId="168" fontId="15" fillId="0" borderId="0" xfId="0" applyNumberFormat="1" applyFont="1"/>
    <xf numFmtId="0" fontId="9" fillId="0" borderId="0" xfId="0" applyFont="1"/>
    <xf numFmtId="2" fontId="16" fillId="0" borderId="0" xfId="0" applyNumberFormat="1" applyFont="1"/>
    <xf numFmtId="164" fontId="16" fillId="0" borderId="0" xfId="0" applyNumberFormat="1" applyFont="1"/>
    <xf numFmtId="164" fontId="9" fillId="0" borderId="0" xfId="0" applyNumberFormat="1" applyFont="1"/>
    <xf numFmtId="166" fontId="9" fillId="0" borderId="0" xfId="0" applyNumberFormat="1" applyFont="1"/>
    <xf numFmtId="0" fontId="17" fillId="0" borderId="0" xfId="0" applyFont="1"/>
    <xf numFmtId="0" fontId="13" fillId="0" borderId="1" xfId="0" applyFont="1" applyBorder="1"/>
    <xf numFmtId="168" fontId="16" fillId="3" borderId="1" xfId="0" applyNumberFormat="1" applyFont="1" applyFill="1" applyBorder="1"/>
    <xf numFmtId="168" fontId="9" fillId="6" borderId="1" xfId="0" applyNumberFormat="1" applyFont="1" applyFill="1" applyBorder="1"/>
    <xf numFmtId="0" fontId="0" fillId="0" borderId="1" xfId="0" applyBorder="1"/>
    <xf numFmtId="0" fontId="16" fillId="3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4" fillId="0" borderId="1" xfId="0" applyFont="1" applyBorder="1" applyAlignment="1"/>
  </cellXfs>
  <cellStyles count="1">
    <cellStyle name="Normal" xfId="0" builtinId="0"/>
  </cellStyles>
  <dxfs count="1"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Q31"/>
  <sheetViews>
    <sheetView showGridLines="0" tabSelected="1" zoomScaleNormal="100" workbookViewId="0">
      <pane ySplit="3" topLeftCell="A4" activePane="bottomLeft" state="frozen"/>
      <selection pane="bottomLeft" activeCell="D6" sqref="D6"/>
    </sheetView>
  </sheetViews>
  <sheetFormatPr defaultColWidth="8.7109375" defaultRowHeight="15" customHeight="1"/>
  <cols>
    <col min="1" max="1" width="2" customWidth="1"/>
    <col min="2" max="2" width="7" customWidth="1"/>
    <col min="3" max="3" width="26" customWidth="1"/>
    <col min="4" max="4" width="22" customWidth="1"/>
    <col min="5" max="5" width="14" customWidth="1"/>
    <col min="6" max="6" width="20.28515625" customWidth="1"/>
    <col min="7" max="7" width="16" customWidth="1"/>
    <col min="8" max="8" width="12" customWidth="1"/>
    <col min="9" max="9" width="22.5703125" customWidth="1"/>
    <col min="10" max="10" width="16" customWidth="1"/>
    <col min="11" max="14" width="11" customWidth="1"/>
    <col min="15" max="15" width="16" customWidth="1"/>
    <col min="16" max="16" width="14" customWidth="1"/>
    <col min="17" max="17" width="5" hidden="1" customWidth="1"/>
  </cols>
  <sheetData>
    <row r="2" spans="2:10" ht="19.7">
      <c r="B2" s="2" t="s">
        <v>0</v>
      </c>
    </row>
    <row r="3" spans="2:10">
      <c r="B3" s="3"/>
    </row>
    <row r="4" spans="2:10" ht="15" customHeight="1">
      <c r="B4" s="50" t="s">
        <v>1</v>
      </c>
      <c r="C4" s="50"/>
      <c r="D4" s="50"/>
      <c r="F4" s="50" t="s">
        <v>2</v>
      </c>
      <c r="G4" s="50"/>
      <c r="I4" s="50" t="s">
        <v>3</v>
      </c>
      <c r="J4" s="50"/>
    </row>
    <row r="5" spans="2:10">
      <c r="B5" s="52" t="s">
        <v>4</v>
      </c>
      <c r="C5" s="52"/>
      <c r="D5" s="5" t="s">
        <v>5</v>
      </c>
      <c r="F5" s="4" t="s">
        <v>6</v>
      </c>
      <c r="G5" s="6">
        <f>IFERROR(INDEX(Data!$E$4:$E$747,MATCH($D$5&amp;"|"&amp;$D$6,Data!$D$4:$D$747,0)),"-")</f>
        <v>29.15</v>
      </c>
      <c r="I5" s="4" t="s">
        <v>7</v>
      </c>
      <c r="J5" s="7">
        <f>Calc!$C$12</f>
        <v>1571.0768</v>
      </c>
    </row>
    <row r="6" spans="2:10">
      <c r="B6" s="52" t="s">
        <v>8</v>
      </c>
      <c r="C6" s="52"/>
      <c r="D6" s="5" t="s">
        <v>9</v>
      </c>
      <c r="F6" s="4" t="s">
        <v>10</v>
      </c>
      <c r="G6" s="6">
        <f>IFERROR(INDEX(Data!$F$4:$F$747,MATCH($D$5&amp;"|"&amp;$D$6,Data!$D$4:$D$747,0)),"-")</f>
        <v>75.72</v>
      </c>
      <c r="I6" s="4" t="s">
        <v>11</v>
      </c>
      <c r="J6" s="7">
        <f>Calc!$E$12</f>
        <v>540.10713162697959</v>
      </c>
    </row>
    <row r="7" spans="2:10">
      <c r="B7" s="52" t="s">
        <v>12</v>
      </c>
      <c r="C7" s="52"/>
      <c r="D7" s="8">
        <v>100</v>
      </c>
      <c r="F7" s="4" t="s">
        <v>13</v>
      </c>
      <c r="G7" s="9">
        <f>SUM(Data!$R$4:$R$747)</f>
        <v>9</v>
      </c>
      <c r="I7" s="4" t="s">
        <v>14</v>
      </c>
      <c r="J7" s="10">
        <f>$D$7</f>
        <v>100</v>
      </c>
    </row>
    <row r="8" spans="2:10">
      <c r="B8" s="52" t="s">
        <v>15</v>
      </c>
      <c r="C8" s="52"/>
      <c r="D8" s="11">
        <v>1</v>
      </c>
      <c r="F8" s="4" t="s">
        <v>16</v>
      </c>
      <c r="G8" s="12" t="str">
        <f>IF(ISNUMBER(MATCH($D$5&amp;"|"&amp;$D$6,Data!$D$4:$D$747,0)),"OK","Pick a district that belongs to the selected state")</f>
        <v>OK</v>
      </c>
      <c r="I8" s="4" t="s">
        <v>17</v>
      </c>
      <c r="J8" s="13" t="str">
        <f>IF(Calc!$C$12&gt;0,$C$13,"-")</f>
        <v>Wheat Straw</v>
      </c>
    </row>
    <row r="11" spans="2:10">
      <c r="B11" s="14" t="s">
        <v>18</v>
      </c>
    </row>
    <row r="12" spans="2:10" ht="24">
      <c r="B12" s="1" t="s">
        <v>19</v>
      </c>
      <c r="C12" s="1" t="s">
        <v>20</v>
      </c>
      <c r="D12" s="1" t="s">
        <v>21</v>
      </c>
      <c r="E12" s="1" t="s">
        <v>22</v>
      </c>
    </row>
    <row r="13" spans="2:10" ht="14.25">
      <c r="B13" s="15">
        <v>1</v>
      </c>
      <c r="C13" s="16" t="str">
        <f>IF(INDEX(Calc!$C$4:$C$11,MATCH(LARGE(Calc!$F$4:$F$11,1),Calc!$F$4:$F$11,0))&gt;0,INDEX(Calc!$B$4:$B$11,MATCH(LARGE(Calc!$F$4:$F$11,1),Calc!$F$4:$F$11,0)),"-")</f>
        <v>Wheat Straw</v>
      </c>
      <c r="D13" s="17">
        <f>INDEX(Calc!$C$4:$C$11,MATCH(LARGE(Calc!$F$4:$F$11,1),Calc!$F$4:$F$11,0))</f>
        <v>666</v>
      </c>
      <c r="E13" s="18">
        <f>IFERROR(D13/Calc!$C$12,0)</f>
        <v>0.42391307668727585</v>
      </c>
    </row>
    <row r="14" spans="2:10" ht="14.25">
      <c r="B14" s="15">
        <v>2</v>
      </c>
      <c r="C14" s="16" t="str">
        <f>IF(INDEX(Calc!$C$4:$C$11,MATCH(LARGE(Calc!$F$4:$F$11,2),Calc!$F$4:$F$11,0))&gt;0,INDEX(Calc!$B$4:$B$11,MATCH(LARGE(Calc!$F$4:$F$11,2),Calc!$F$4:$F$11,0)),"-")</f>
        <v>Mustard Stalk</v>
      </c>
      <c r="D14" s="17">
        <f>INDEX(Calc!$C$4:$C$11,MATCH(LARGE(Calc!$F$4:$F$11,2),Calc!$F$4:$F$11,0))</f>
        <v>492.27850000000001</v>
      </c>
      <c r="E14" s="18">
        <f>IFERROR(D14/Calc!$C$12,0)</f>
        <v>0.31333827856155727</v>
      </c>
    </row>
    <row r="15" spans="2:10" ht="14.25">
      <c r="B15" s="15">
        <v>3</v>
      </c>
      <c r="C15" s="16" t="str">
        <f>IF(INDEX(Calc!$C$4:$C$11,MATCH(LARGE(Calc!$F$4:$F$11,3),Calc!$F$4:$F$11,0))&gt;0,INDEX(Calc!$B$4:$B$11,MATCH(LARGE(Calc!$F$4:$F$11,3),Calc!$F$4:$F$11,0)),"-")</f>
        <v>Paddy Straw</v>
      </c>
      <c r="D15" s="17">
        <f>INDEX(Calc!$C$4:$C$11,MATCH(LARGE(Calc!$F$4:$F$11,3),Calc!$F$4:$F$11,0))</f>
        <v>410.76000000000005</v>
      </c>
      <c r="E15" s="18">
        <f>IFERROR(D15/Calc!$C$12,0)</f>
        <v>0.26145125432442262</v>
      </c>
    </row>
    <row r="16" spans="2:10" ht="14.25">
      <c r="B16" s="15">
        <v>4</v>
      </c>
      <c r="C16" s="16" t="str">
        <f>IF(INDEX(Calc!$C$4:$C$11,MATCH(LARGE(Calc!$F$4:$F$11,4),Calc!$F$4:$F$11,0))&gt;0,INDEX(Calc!$B$4:$B$11,MATCH(LARGE(Calc!$F$4:$F$11,4),Calc!$F$4:$F$11,0)),"-")</f>
        <v>Cane Trash</v>
      </c>
      <c r="D16" s="17">
        <f>INDEX(Calc!$C$4:$C$11,MATCH(LARGE(Calc!$F$4:$F$11,4),Calc!$F$4:$F$11,0))</f>
        <v>1.44</v>
      </c>
      <c r="E16" s="18">
        <f>IFERROR(D16/Calc!$C$12,0)</f>
        <v>9.1656881445897486E-4</v>
      </c>
    </row>
    <row r="17" spans="2:17" ht="14.25">
      <c r="B17" s="15">
        <v>5</v>
      </c>
      <c r="C17" s="16" t="str">
        <f>IF(INDEX(Calc!$C$4:$C$11,MATCH(LARGE(Calc!$F$4:$F$11,5),Calc!$F$4:$F$11,0))&gt;0,INDEX(Calc!$B$4:$B$11,MATCH(LARGE(Calc!$F$4:$F$11,5),Calc!$F$4:$F$11,0)),"-")</f>
        <v>Maize Stover</v>
      </c>
      <c r="D17" s="17">
        <f>INDEX(Calc!$C$4:$C$11,MATCH(LARGE(Calc!$F$4:$F$11,5),Calc!$F$4:$F$11,0))</f>
        <v>0.43030000000000002</v>
      </c>
      <c r="E17" s="18">
        <f>IFERROR(D17/Calc!$C$12,0)</f>
        <v>2.7388858393173393E-4</v>
      </c>
    </row>
    <row r="18" spans="2:17" ht="14.25">
      <c r="B18" s="15"/>
      <c r="C18" s="19" t="s">
        <v>23</v>
      </c>
      <c r="D18" s="20">
        <f>Calc!$C$12-SUM(D13:D17)</f>
        <v>0.16800000000012005</v>
      </c>
      <c r="E18" s="18">
        <f>IFERROR(D18/Calc!$C$12,0)</f>
        <v>1.0693302835362349E-4</v>
      </c>
    </row>
    <row r="19" spans="2:17" ht="14.25">
      <c r="B19" s="21"/>
      <c r="C19" s="22" t="s">
        <v>24</v>
      </c>
      <c r="D19" s="23">
        <f>SUM(D13:D18)</f>
        <v>1571.0768</v>
      </c>
      <c r="E19" s="24">
        <f>SUM(E13:E18)</f>
        <v>1</v>
      </c>
    </row>
    <row r="22" spans="2:17">
      <c r="B22" s="14" t="s">
        <v>25</v>
      </c>
    </row>
    <row r="23" spans="2:17" ht="31.5" customHeight="1">
      <c r="B23" s="1" t="s">
        <v>19</v>
      </c>
      <c r="C23" s="1" t="s">
        <v>8</v>
      </c>
      <c r="D23" s="1" t="s">
        <v>4</v>
      </c>
      <c r="E23" s="1" t="s">
        <v>26</v>
      </c>
      <c r="F23" s="1" t="s">
        <v>27</v>
      </c>
      <c r="G23" s="1" t="s">
        <v>28</v>
      </c>
      <c r="H23" s="1" t="s">
        <v>29</v>
      </c>
      <c r="I23" s="1" t="s">
        <v>30</v>
      </c>
      <c r="J23" s="1" t="s">
        <v>31</v>
      </c>
      <c r="K23" s="1" t="s">
        <v>32</v>
      </c>
      <c r="L23" s="1" t="s">
        <v>33</v>
      </c>
      <c r="M23" s="1" t="s">
        <v>34</v>
      </c>
      <c r="N23" s="1" t="s">
        <v>35</v>
      </c>
      <c r="O23" s="1" t="s">
        <v>36</v>
      </c>
      <c r="P23" s="1" t="s">
        <v>37</v>
      </c>
      <c r="Q23" s="25" t="s">
        <v>38</v>
      </c>
    </row>
    <row r="24" spans="2:17">
      <c r="B24" s="15">
        <v>1</v>
      </c>
      <c r="C24" s="26" t="str">
        <f>IF($Q24="","",INDEX(Data!$C$4:$C$747,$Q24))</f>
        <v>Sirsa</v>
      </c>
      <c r="D24" s="16" t="str">
        <f>IF($Q24="","",INDEX(Data!$B$4:$B$747,$Q24))</f>
        <v>Haryana</v>
      </c>
      <c r="E24" s="27">
        <f>IF($Q24="","",INDEX(Data!$Q$4:$Q$747,$Q24))</f>
        <v>79.111801673851346</v>
      </c>
      <c r="F24" s="28">
        <f>IF($Q24="","",INDEX(Data!$O$4:$O$747,$Q24))</f>
        <v>286.58370000000002</v>
      </c>
      <c r="G24" s="17">
        <f>IF($Q24="","",INDEX(Data!$G$4:$G$747,$Q24))</f>
        <v>57.12</v>
      </c>
      <c r="H24" s="17">
        <f>IF($Q24="","",INDEX(Data!$H$4:$H$747,$Q24))</f>
        <v>126.45</v>
      </c>
      <c r="I24" s="17">
        <f>IF($Q24="","",INDEX(Data!$I$4:$I$747,$Q24))</f>
        <v>8.9200000000000002E-2</v>
      </c>
      <c r="J24" s="17">
        <f>IF($Q24="","",INDEX(Data!$J$4:$J$747,$Q24))</f>
        <v>102.92449999999999</v>
      </c>
      <c r="K24" s="17">
        <f>IF($Q24="","",INDEX(Data!$K$4:$K$747,$Q24))</f>
        <v>0</v>
      </c>
      <c r="L24" s="17">
        <f>IF($Q24="","",INDEX(Data!$L$4:$L$747,$Q24))</f>
        <v>0</v>
      </c>
      <c r="M24" s="17">
        <f>IF($Q24="","",INDEX(Data!$M$4:$M$747,$Q24))</f>
        <v>0</v>
      </c>
      <c r="N24" s="17">
        <f>IF($Q24="","",INDEX(Data!$N$4:$N$747,$Q24))</f>
        <v>0</v>
      </c>
      <c r="O24" s="29" t="str">
        <f>IF($Q24="","",INDEX(Data!$T$4:$T$747,$Q24))</f>
        <v>Wheat Straw</v>
      </c>
      <c r="P24" s="17">
        <f>IF($Q24="","",INDEX(Data!$P$4:$P$747,$Q24))</f>
        <v>97.593121639882696</v>
      </c>
      <c r="Q24" s="25">
        <f>IFERROR(MATCH(LARGE(Data!$S$4:$S$747,1),Data!$S$4:$S$747,0),"")</f>
        <v>214</v>
      </c>
    </row>
    <row r="25" spans="2:17">
      <c r="B25" s="15">
        <v>2</v>
      </c>
      <c r="C25" s="26" t="str">
        <f>IF($Q25="","",INDEX(Data!$C$4:$C$747,$Q25))</f>
        <v>Hisar</v>
      </c>
      <c r="D25" s="16" t="str">
        <f>IF($Q25="","",INDEX(Data!$B$4:$B$747,$Q25))</f>
        <v>Haryana</v>
      </c>
      <c r="E25" s="27">
        <f>IF($Q25="","",INDEX(Data!$Q$4:$Q$747,$Q25))</f>
        <v>0</v>
      </c>
      <c r="F25" s="28">
        <f>IF($Q25="","",INDEX(Data!$O$4:$O$747,$Q25))</f>
        <v>275.17520000000002</v>
      </c>
      <c r="G25" s="17">
        <f>IF($Q25="","",INDEX(Data!$G$4:$G$747,$Q25))</f>
        <v>46.62</v>
      </c>
      <c r="H25" s="17">
        <f>IF($Q25="","",INDEX(Data!$H$4:$H$747,$Q25))</f>
        <v>100.8</v>
      </c>
      <c r="I25" s="17">
        <f>IF($Q25="","",INDEX(Data!$I$4:$I$747,$Q25))</f>
        <v>3.6700000000000003E-2</v>
      </c>
      <c r="J25" s="17">
        <f>IF($Q25="","",INDEX(Data!$J$4:$J$747,$Q25))</f>
        <v>127.71850000000001</v>
      </c>
      <c r="K25" s="17">
        <f>IF($Q25="","",INDEX(Data!$K$4:$K$747,$Q25))</f>
        <v>0</v>
      </c>
      <c r="L25" s="17">
        <f>IF($Q25="","",INDEX(Data!$L$4:$L$747,$Q25))</f>
        <v>0</v>
      </c>
      <c r="M25" s="17">
        <f>IF($Q25="","",INDEX(Data!$M$4:$M$747,$Q25))</f>
        <v>0</v>
      </c>
      <c r="N25" s="17">
        <f>IF($Q25="","",INDEX(Data!$N$4:$N$747,$Q25))</f>
        <v>0</v>
      </c>
      <c r="O25" s="29" t="str">
        <f>IF($Q25="","",INDEX(Data!$T$4:$T$747,$Q25))</f>
        <v>Mustard Stalk</v>
      </c>
      <c r="P25" s="17">
        <f>IF($Q25="","",INDEX(Data!$P$4:$P$747,$Q25))</f>
        <v>91.62068487741935</v>
      </c>
      <c r="Q25" s="25">
        <f>IFERROR(MATCH(LARGE(Data!$S$4:$S$747,2),Data!$S$4:$S$747,0),"")</f>
        <v>201</v>
      </c>
    </row>
    <row r="26" spans="2:17">
      <c r="B26" s="15">
        <v>3</v>
      </c>
      <c r="C26" s="26" t="str">
        <f>IF($Q26="","",INDEX(Data!$C$4:$C$747,$Q26))</f>
        <v>Bhiwani</v>
      </c>
      <c r="D26" s="16" t="str">
        <f>IF($Q26="","",INDEX(Data!$B$4:$B$747,$Q26))</f>
        <v>Haryana</v>
      </c>
      <c r="E26" s="27">
        <f>IF($Q26="","",INDEX(Data!$Q$4:$Q$747,$Q26))</f>
        <v>56.508840638602003</v>
      </c>
      <c r="F26" s="28">
        <f>IF($Q26="","",INDEX(Data!$O$4:$O$747,$Q26))</f>
        <v>198.6902</v>
      </c>
      <c r="G26" s="17">
        <f>IF($Q26="","",INDEX(Data!$G$4:$G$747,$Q26))</f>
        <v>13.44</v>
      </c>
      <c r="H26" s="17">
        <f>IF($Q26="","",INDEX(Data!$H$4:$H$747,$Q26))</f>
        <v>45</v>
      </c>
      <c r="I26" s="17">
        <f>IF($Q26="","",INDEX(Data!$I$4:$I$747,$Q26))</f>
        <v>0</v>
      </c>
      <c r="J26" s="17">
        <f>IF($Q26="","",INDEX(Data!$J$4:$J$747,$Q26))</f>
        <v>140.25020000000001</v>
      </c>
      <c r="K26" s="17">
        <f>IF($Q26="","",INDEX(Data!$K$4:$K$747,$Q26))</f>
        <v>0</v>
      </c>
      <c r="L26" s="17">
        <f>IF($Q26="","",INDEX(Data!$L$4:$L$747,$Q26))</f>
        <v>0</v>
      </c>
      <c r="M26" s="17">
        <f>IF($Q26="","",INDEX(Data!$M$4:$M$747,$Q26))</f>
        <v>0</v>
      </c>
      <c r="N26" s="17">
        <f>IF($Q26="","",INDEX(Data!$N$4:$N$747,$Q26))</f>
        <v>0</v>
      </c>
      <c r="O26" s="29" t="str">
        <f>IF($Q26="","",INDEX(Data!$T$4:$T$747,$Q26))</f>
        <v>Mustard Stalk</v>
      </c>
      <c r="P26" s="17">
        <f>IF($Q26="","",INDEX(Data!$P$4:$P$747,$Q26))</f>
        <v>62.680489334897366</v>
      </c>
      <c r="Q26" s="25">
        <f>IFERROR(MATCH(LARGE(Data!$S$4:$S$747,3),Data!$S$4:$S$747,0),"")</f>
        <v>196</v>
      </c>
    </row>
    <row r="27" spans="2:17">
      <c r="B27" s="15">
        <v>4</v>
      </c>
      <c r="C27" s="26" t="str">
        <f>IF($Q27="","",INDEX(Data!$C$4:$C$747,$Q27))</f>
        <v>Jind</v>
      </c>
      <c r="D27" s="16" t="str">
        <f>IF($Q27="","",INDEX(Data!$B$4:$B$747,$Q27))</f>
        <v>Haryana</v>
      </c>
      <c r="E27" s="27">
        <f>IF($Q27="","",INDEX(Data!$Q$4:$Q$747,$Q27))</f>
        <v>61.210671102678781</v>
      </c>
      <c r="F27" s="28">
        <f>IF($Q27="","",INDEX(Data!$O$4:$O$747,$Q27))</f>
        <v>186.31899999999999</v>
      </c>
      <c r="G27" s="17">
        <f>IF($Q27="","",INDEX(Data!$G$4:$G$747,$Q27))</f>
        <v>70.98</v>
      </c>
      <c r="H27" s="17">
        <f>IF($Q27="","",INDEX(Data!$H$4:$H$747,$Q27))</f>
        <v>91.35</v>
      </c>
      <c r="I27" s="17">
        <f>IF($Q27="","",INDEX(Data!$I$4:$I$747,$Q27))</f>
        <v>1.5699999999999999E-2</v>
      </c>
      <c r="J27" s="17">
        <f>IF($Q27="","",INDEX(Data!$J$4:$J$747,$Q27))</f>
        <v>23.973299999999998</v>
      </c>
      <c r="K27" s="17">
        <f>IF($Q27="","",INDEX(Data!$K$4:$K$747,$Q27))</f>
        <v>0</v>
      </c>
      <c r="L27" s="17">
        <f>IF($Q27="","",INDEX(Data!$L$4:$L$747,$Q27))</f>
        <v>0</v>
      </c>
      <c r="M27" s="17">
        <f>IF($Q27="","",INDEX(Data!$M$4:$M$747,$Q27))</f>
        <v>0</v>
      </c>
      <c r="N27" s="17">
        <f>IF($Q27="","",INDEX(Data!$N$4:$N$747,$Q27))</f>
        <v>0</v>
      </c>
      <c r="O27" s="29" t="str">
        <f>IF($Q27="","",INDEX(Data!$T$4:$T$747,$Q27))</f>
        <v>Wheat Straw</v>
      </c>
      <c r="P27" s="17">
        <f>IF($Q27="","",INDEX(Data!$P$4:$P$747,$Q27))</f>
        <v>66.559879395894441</v>
      </c>
      <c r="Q27" s="25">
        <f>IFERROR(MATCH(LARGE(Data!$S$4:$S$747,4),Data!$S$4:$S$747,0),"")</f>
        <v>203</v>
      </c>
    </row>
    <row r="28" spans="2:17">
      <c r="B28" s="15">
        <v>5</v>
      </c>
      <c r="C28" s="26" t="str">
        <f>IF($Q28="","",INDEX(Data!$C$4:$C$747,$Q28))</f>
        <v>Fatehabad</v>
      </c>
      <c r="D28" s="16" t="str">
        <f>IF($Q28="","",INDEX(Data!$B$4:$B$747,$Q28))</f>
        <v>Haryana</v>
      </c>
      <c r="E28" s="27">
        <f>IF($Q28="","",INDEX(Data!$Q$4:$Q$747,$Q28))</f>
        <v>48.761527167224102</v>
      </c>
      <c r="F28" s="28">
        <f>IF($Q28="","",INDEX(Data!$O$4:$O$747,$Q28))</f>
        <v>165.97989999999999</v>
      </c>
      <c r="G28" s="17">
        <f>IF($Q28="","",INDEX(Data!$G$4:$G$747,$Q28))</f>
        <v>58.8</v>
      </c>
      <c r="H28" s="17">
        <f>IF($Q28="","",INDEX(Data!$H$4:$H$747,$Q28))</f>
        <v>82.35</v>
      </c>
      <c r="I28" s="17">
        <f>IF($Q28="","",INDEX(Data!$I$4:$I$747,$Q28))</f>
        <v>4.2000000000000003E-2</v>
      </c>
      <c r="J28" s="17">
        <f>IF($Q28="","",INDEX(Data!$J$4:$J$747,$Q28))</f>
        <v>24.7879</v>
      </c>
      <c r="K28" s="17">
        <f>IF($Q28="","",INDEX(Data!$K$4:$K$747,$Q28))</f>
        <v>0</v>
      </c>
      <c r="L28" s="17">
        <f>IF($Q28="","",INDEX(Data!$L$4:$L$747,$Q28))</f>
        <v>0</v>
      </c>
      <c r="M28" s="17">
        <f>IF($Q28="","",INDEX(Data!$M$4:$M$747,$Q28))</f>
        <v>0</v>
      </c>
      <c r="N28" s="17">
        <f>IF($Q28="","",INDEX(Data!$N$4:$N$747,$Q28))</f>
        <v>0</v>
      </c>
      <c r="O28" s="29" t="str">
        <f>IF($Q28="","",INDEX(Data!$T$4:$T$747,$Q28))</f>
        <v>Wheat Straw</v>
      </c>
      <c r="P28" s="17">
        <f>IF($Q28="","",INDEX(Data!$P$4:$P$747,$Q28))</f>
        <v>59.043637825219946</v>
      </c>
      <c r="Q28" s="25">
        <f>IFERROR(MATCH(LARGE(Data!$S$4:$S$747,5),Data!$S$4:$S$747,0),"")</f>
        <v>199</v>
      </c>
    </row>
    <row r="30" spans="2:17">
      <c r="B30" s="30" t="s">
        <v>39</v>
      </c>
    </row>
    <row r="31" spans="2:17">
      <c r="B31" s="30" t="s">
        <v>40</v>
      </c>
    </row>
  </sheetData>
  <mergeCells count="7">
    <mergeCell ref="B7:C7"/>
    <mergeCell ref="B8:C8"/>
    <mergeCell ref="B4:D4"/>
    <mergeCell ref="F4:G4"/>
    <mergeCell ref="I4:J4"/>
    <mergeCell ref="B5:C5"/>
    <mergeCell ref="B6:C6"/>
  </mergeCells>
  <dataValidations count="4">
    <dataValidation type="list" showErrorMessage="1" errorTitle="Invalid state" error="Pick a state from the list." sqref="D5" xr:uid="{00000000-0002-0000-0000-000000000000}">
      <formula1>StateList</formula1>
      <formula2>0</formula2>
    </dataValidation>
    <dataValidation type="list" showErrorMessage="1" errorTitle="Invalid district" error="Pick a district in the selected state." sqref="D6" xr:uid="{00000000-0002-0000-0000-000001000000}">
      <formula1>DistList</formula1>
      <formula2>0</formula2>
    </dataValidation>
    <dataValidation type="decimal" showErrorMessage="1" errorTitle="Radius" error="Enter a radius between 1 and 2,000 km." sqref="D7" xr:uid="{00000000-0002-0000-0000-000002000000}">
      <formula1>1</formula1>
      <formula2>2000</formula2>
    </dataValidation>
    <dataValidation type="decimal" showErrorMessage="1" errorTitle="Road factor" error="Enter a factor between 1.0 and 2.0." sqref="D8" xr:uid="{00000000-0002-0000-0000-000003000000}">
      <formula1>1</formula1>
      <formula2>2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B1:F12"/>
  <sheetViews>
    <sheetView zoomScaleNormal="100" workbookViewId="0"/>
  </sheetViews>
  <sheetFormatPr defaultColWidth="8.7109375" defaultRowHeight="15" customHeight="1"/>
  <cols>
    <col min="1" max="1" width="2" customWidth="1"/>
    <col min="2" max="2" width="18" customWidth="1"/>
    <col min="3" max="3" width="20" customWidth="1"/>
    <col min="4" max="4" width="12" customWidth="1"/>
    <col min="5" max="5" width="18" customWidth="1"/>
    <col min="6" max="6" width="14" customWidth="1"/>
  </cols>
  <sheetData>
    <row r="1" spans="2:6">
      <c r="B1" s="31" t="s">
        <v>41</v>
      </c>
    </row>
    <row r="3" spans="2:6" ht="23.85">
      <c r="B3" s="1" t="s">
        <v>20</v>
      </c>
      <c r="C3" s="1" t="s">
        <v>42</v>
      </c>
      <c r="D3" s="1" t="s">
        <v>43</v>
      </c>
      <c r="E3" s="1" t="s">
        <v>44</v>
      </c>
      <c r="F3" s="1" t="s">
        <v>45</v>
      </c>
    </row>
    <row r="4" spans="2:6">
      <c r="B4" s="32" t="s">
        <v>28</v>
      </c>
      <c r="C4" s="33">
        <f>SUMPRODUCT(Data!G$4:G$747,Data!$R$4:$R$747)</f>
        <v>410.76000000000005</v>
      </c>
      <c r="D4" s="34">
        <f>Assumptions!$C$6</f>
        <v>0.12499499999999999</v>
      </c>
      <c r="E4" s="33">
        <f>C4*1000*D4/Assumptions!$C$15</f>
        <v>150.56582463343111</v>
      </c>
      <c r="F4" s="32">
        <f>C4+(20-ROW())*0.000000001</f>
        <v>410.76000001600005</v>
      </c>
    </row>
    <row r="5" spans="2:6">
      <c r="B5" s="32" t="s">
        <v>29</v>
      </c>
      <c r="C5" s="33">
        <f>SUMPRODUCT(Data!H$4:H$747,Data!$R$4:$R$747)</f>
        <v>666</v>
      </c>
      <c r="D5" s="34">
        <f>Assumptions!$C$7</f>
        <v>0.12499499999999999</v>
      </c>
      <c r="E5" s="33">
        <f>C5*1000*D5/Assumptions!$C$15</f>
        <v>244.12513196480938</v>
      </c>
      <c r="F5" s="32">
        <f>C5+(20-ROW())*0.000000001</f>
        <v>666.00000001499996</v>
      </c>
    </row>
    <row r="6" spans="2:6">
      <c r="B6" s="32" t="s">
        <v>30</v>
      </c>
      <c r="C6" s="33">
        <f>SUMPRODUCT(Data!I$4:I$747,Data!$R$4:$R$747)</f>
        <v>0.43030000000000002</v>
      </c>
      <c r="D6" s="34">
        <f>Assumptions!$C$8</f>
        <v>0.100316</v>
      </c>
      <c r="E6" s="33">
        <f>C6*1000*D6/Assumptions!$C$15</f>
        <v>0.12658643636363637</v>
      </c>
      <c r="F6" s="32">
        <f>C6+(20-ROW())*0.000000001</f>
        <v>0.43030001400000001</v>
      </c>
    </row>
    <row r="7" spans="2:6">
      <c r="B7" s="32" t="s">
        <v>31</v>
      </c>
      <c r="C7" s="33">
        <f>SUMPRODUCT(Data!J$4:J$747,Data!$R$4:$R$747)</f>
        <v>492.27850000000001</v>
      </c>
      <c r="D7" s="34">
        <f>Assumptions!$C$9</f>
        <v>0.100316</v>
      </c>
      <c r="E7" s="33">
        <f>C7*1000*D7/Assumptions!$C$15</f>
        <v>144.81938418181818</v>
      </c>
      <c r="F7" s="32">
        <f>C7+(20-ROW())*0.000000001</f>
        <v>492.27850001299998</v>
      </c>
    </row>
    <row r="8" spans="2:6">
      <c r="B8" s="32" t="s">
        <v>32</v>
      </c>
      <c r="C8" s="33">
        <f>SUMPRODUCT(Data!K$4:K$747,Data!$R$4:$R$747)</f>
        <v>1.44</v>
      </c>
      <c r="D8" s="34">
        <f>Assumptions!$C$10</f>
        <v>0.106624</v>
      </c>
      <c r="E8" s="33">
        <f>C8*1000*D8/Assumptions!$C$15</f>
        <v>0.45025970674486798</v>
      </c>
      <c r="F8" s="32">
        <f>C8+(20-ROW())*0.000000001</f>
        <v>1.4400000120000001</v>
      </c>
    </row>
    <row r="9" spans="2:6">
      <c r="B9" s="32" t="s">
        <v>33</v>
      </c>
      <c r="C9" s="33">
        <f>SUMPRODUCT(Data!L$4:L$747,Data!$R$4:$R$747)</f>
        <v>0.16800000000000001</v>
      </c>
      <c r="D9" s="34">
        <f>Assumptions!$C$11</f>
        <v>4.0482999999999998E-2</v>
      </c>
      <c r="E9" s="33">
        <f>C9*1000*D9/Assumptions!$C$15</f>
        <v>1.9944703812316715E-2</v>
      </c>
      <c r="F9" s="32">
        <f>C9+(20-ROW())*0.000000001</f>
        <v>0.168000011</v>
      </c>
    </row>
    <row r="10" spans="2:6">
      <c r="B10" s="32" t="s">
        <v>34</v>
      </c>
      <c r="C10" s="33">
        <f>SUMPRODUCT(Data!M$4:M$747,Data!$R$4:$R$747)</f>
        <v>0</v>
      </c>
      <c r="D10" s="34">
        <f>Assumptions!$C$12</f>
        <v>0.107684</v>
      </c>
      <c r="E10" s="33">
        <f>C10*1000*D10/Assumptions!$C$15</f>
        <v>0</v>
      </c>
      <c r="F10" s="32">
        <f>C10+(20-ROW())*0.000000001</f>
        <v>1E-8</v>
      </c>
    </row>
    <row r="11" spans="2:6">
      <c r="B11" s="32" t="s">
        <v>35</v>
      </c>
      <c r="C11" s="33">
        <f>SUMPRODUCT(Data!N$4:N$747,Data!$R$4:$R$747)</f>
        <v>0</v>
      </c>
      <c r="D11" s="34">
        <f>Assumptions!$C$13</f>
        <v>3.8331999999999998E-2</v>
      </c>
      <c r="E11" s="33">
        <f>C11*1000*D11/Assumptions!$C$15</f>
        <v>0</v>
      </c>
      <c r="F11" s="32">
        <f>C11+(20-ROW())*0.000000001</f>
        <v>9.0000000000000012E-9</v>
      </c>
    </row>
    <row r="12" spans="2:6">
      <c r="B12" s="31" t="s">
        <v>24</v>
      </c>
      <c r="C12" s="35">
        <f>SUM(C4:C11)</f>
        <v>1571.0768</v>
      </c>
      <c r="E12" s="35">
        <f>SUM(E4:E11)</f>
        <v>540.10713162697959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47"/>
  <sheetViews>
    <sheetView zoomScaleNormal="100" workbookViewId="0">
      <pane xSplit="3" ySplit="3" topLeftCell="E4" activePane="bottomRight" state="frozen"/>
      <selection pane="bottomRight"/>
      <selection pane="bottomLeft" activeCell="A4" sqref="A4"/>
      <selection pane="topRight" activeCell="D1" sqref="D1"/>
    </sheetView>
  </sheetViews>
  <sheetFormatPr defaultColWidth="8.7109375" defaultRowHeight="15" customHeight="1"/>
  <cols>
    <col min="1" max="1" width="5" customWidth="1"/>
    <col min="2" max="3" width="26" customWidth="1"/>
    <col min="4" max="4" width="30" hidden="1" customWidth="1"/>
    <col min="5" max="6" width="9" customWidth="1"/>
    <col min="7" max="14" width="11" customWidth="1"/>
    <col min="15" max="15" width="12" customWidth="1"/>
    <col min="16" max="16" width="11" customWidth="1"/>
    <col min="17" max="17" width="10" customWidth="1"/>
    <col min="18" max="18" width="9" customWidth="1"/>
    <col min="19" max="19" width="10" hidden="1" customWidth="1"/>
    <col min="20" max="20" width="15" customWidth="1"/>
  </cols>
  <sheetData>
    <row r="1" spans="1:20">
      <c r="A1" s="36" t="s">
        <v>46</v>
      </c>
    </row>
    <row r="2" spans="1:20">
      <c r="F2" s="37" t="s">
        <v>47</v>
      </c>
      <c r="G2" s="38">
        <f>Assumptions!$C$6</f>
        <v>0.12499499999999999</v>
      </c>
      <c r="H2" s="38">
        <f>Assumptions!$C$7</f>
        <v>0.12499499999999999</v>
      </c>
      <c r="I2" s="38">
        <f>Assumptions!$C$8</f>
        <v>0.100316</v>
      </c>
      <c r="J2" s="38">
        <f>Assumptions!$C$9</f>
        <v>0.100316</v>
      </c>
      <c r="K2" s="38">
        <f>Assumptions!$C$10</f>
        <v>0.106624</v>
      </c>
      <c r="L2" s="38">
        <f>Assumptions!$C$11</f>
        <v>4.0482999999999998E-2</v>
      </c>
      <c r="M2" s="38">
        <f>Assumptions!$C$12</f>
        <v>0.107684</v>
      </c>
      <c r="N2" s="38">
        <f>Assumptions!$C$13</f>
        <v>3.8331999999999998E-2</v>
      </c>
    </row>
    <row r="3" spans="1:20" ht="42" customHeight="1">
      <c r="A3" s="1" t="s">
        <v>48</v>
      </c>
      <c r="B3" s="1" t="s">
        <v>4</v>
      </c>
      <c r="C3" s="1" t="s">
        <v>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 t="s">
        <v>59</v>
      </c>
      <c r="O3" s="1" t="s">
        <v>27</v>
      </c>
      <c r="P3" s="1" t="s">
        <v>37</v>
      </c>
      <c r="Q3" s="1" t="s">
        <v>26</v>
      </c>
      <c r="R3" s="1" t="s">
        <v>60</v>
      </c>
      <c r="S3" s="1" t="s">
        <v>61</v>
      </c>
      <c r="T3" s="1" t="s">
        <v>36</v>
      </c>
    </row>
    <row r="4" spans="1:20">
      <c r="A4" s="39">
        <v>1</v>
      </c>
      <c r="B4" s="39" t="s">
        <v>62</v>
      </c>
      <c r="C4" s="39" t="s">
        <v>63</v>
      </c>
      <c r="D4" s="39" t="str">
        <f>B4&amp;"|"&amp;C4</f>
        <v>Andaman And Nicobar Islands|Nicobars</v>
      </c>
      <c r="E4" s="40">
        <v>9.16</v>
      </c>
      <c r="F4" s="40">
        <v>92.75</v>
      </c>
      <c r="G4" s="41">
        <v>0</v>
      </c>
      <c r="H4" s="41">
        <v>0</v>
      </c>
      <c r="I4" s="41">
        <v>0</v>
      </c>
      <c r="J4" s="41">
        <v>0</v>
      </c>
      <c r="K4" s="41">
        <v>0</v>
      </c>
      <c r="L4" s="41">
        <v>0</v>
      </c>
      <c r="M4" s="41">
        <v>0</v>
      </c>
      <c r="N4" s="41">
        <v>0</v>
      </c>
      <c r="O4" s="42">
        <f>SUM(G4:N4)</f>
        <v>0</v>
      </c>
      <c r="P4" s="42">
        <f>SUMPRODUCT(G4:N4,$G$2:$N$2)*1000/Assumptions!$C$15</f>
        <v>0</v>
      </c>
      <c r="Q4" s="43">
        <f>IF(ISNUMBER(Finder!$G$5),Finder!$D$8*Assumptions!$C$16*2*ASIN(SQRT(SIN(RADIANS(E4-Finder!$G$5)/2)^2+COS(RADIANS(Finder!$G$5))*COS(RADIANS(E4))*SIN(RADIANS(F4-Finder!$G$6)/2)^2)),"")</f>
        <v>2844.9208248780592</v>
      </c>
      <c r="R4" s="39">
        <f>IF(ISNUMBER(Q4),IF(Q4&lt;=Finder!$D$7,1,0),0)</f>
        <v>0</v>
      </c>
      <c r="S4" s="39" t="str">
        <f>IF(R4=1,O4+ROW()*0.000000001,"")</f>
        <v/>
      </c>
      <c r="T4" s="39" t="str">
        <f>IF(O4&gt;0,INDEX(Calc!$B$4:$B$11,MATCH(MAX(G4:N4),G4:N4,0)),"-")</f>
        <v>-</v>
      </c>
    </row>
    <row r="5" spans="1:20">
      <c r="A5" s="39">
        <v>2</v>
      </c>
      <c r="B5" s="39" t="s">
        <v>62</v>
      </c>
      <c r="C5" s="39" t="s">
        <v>64</v>
      </c>
      <c r="D5" s="39" t="str">
        <f>B5&amp;"|"&amp;C5</f>
        <v>Andaman And Nicobar Islands|North And Middle Andaman</v>
      </c>
      <c r="E5" s="40">
        <v>12.92</v>
      </c>
      <c r="F5" s="40">
        <v>92.9</v>
      </c>
      <c r="G5" s="41">
        <v>1.68</v>
      </c>
      <c r="H5" s="41">
        <v>0</v>
      </c>
      <c r="I5" s="41">
        <v>1.7999999999999999E-2</v>
      </c>
      <c r="J5" s="41">
        <v>2.9999999999999997E-4</v>
      </c>
      <c r="K5" s="41">
        <v>4.2799999999999998E-2</v>
      </c>
      <c r="L5" s="41">
        <v>5.0000000000000001E-3</v>
      </c>
      <c r="M5" s="41">
        <v>0</v>
      </c>
      <c r="N5" s="41">
        <v>0</v>
      </c>
      <c r="O5" s="42">
        <f>SUM(G5:N5)</f>
        <v>1.7460999999999998</v>
      </c>
      <c r="P5" s="42">
        <f>SUMPRODUCT(G5:N5,$G$2:$N$2)*1000/Assumptions!$C$15</f>
        <v>0.63517098240469205</v>
      </c>
      <c r="Q5" s="43">
        <f>IF(ISNUMBER(Finder!$G$5),Finder!$D$8*Assumptions!$C$16*2*ASIN(SQRT(SIN(RADIANS(E5-Finder!$G$5)/2)^2+COS(RADIANS(Finder!$G$5))*COS(RADIANS(E5))*SIN(RADIANS(F5-Finder!$G$6)/2)^2)),"")</f>
        <v>2530.251238014815</v>
      </c>
      <c r="R5" s="39">
        <f>IF(ISNUMBER(Q5),IF(Q5&lt;=Finder!$D$7,1,0),0)</f>
        <v>0</v>
      </c>
      <c r="S5" s="39" t="str">
        <f>IF(R5=1,O5+ROW()*0.000000001,"")</f>
        <v/>
      </c>
      <c r="T5" s="39" t="str">
        <f>IF(O5&gt;0,INDEX(Calc!$B$4:$B$11,MATCH(MAX(G5:N5),G5:N5,0)),"-")</f>
        <v>Paddy Straw</v>
      </c>
    </row>
    <row r="6" spans="1:20">
      <c r="A6" s="39">
        <v>3</v>
      </c>
      <c r="B6" s="39" t="s">
        <v>62</v>
      </c>
      <c r="C6" s="39" t="s">
        <v>65</v>
      </c>
      <c r="D6" s="39" t="str">
        <f>B6&amp;"|"&amp;C6</f>
        <v>Andaman And Nicobar Islands|South Andamans</v>
      </c>
      <c r="E6" s="40">
        <v>11.62</v>
      </c>
      <c r="F6" s="40">
        <v>92.73</v>
      </c>
      <c r="G6" s="41">
        <v>0</v>
      </c>
      <c r="H6" s="41">
        <v>0</v>
      </c>
      <c r="I6" s="41">
        <v>0</v>
      </c>
      <c r="J6" s="41">
        <v>0</v>
      </c>
      <c r="K6" s="41">
        <v>0.49480000000000002</v>
      </c>
      <c r="L6" s="41">
        <v>5.7700000000000001E-2</v>
      </c>
      <c r="M6" s="41">
        <v>0</v>
      </c>
      <c r="N6" s="41">
        <v>0</v>
      </c>
      <c r="O6" s="42">
        <f>SUM(G6:N6)</f>
        <v>0.55249999999999999</v>
      </c>
      <c r="P6" s="42">
        <f>SUMPRODUCT(G6:N6,$G$2:$N$2)*1000/Assumptions!$C$15</f>
        <v>0.16156429413489737</v>
      </c>
      <c r="Q6" s="43">
        <f>IF(ISNUMBER(Finder!$G$5),Finder!$D$8*Assumptions!$C$16*2*ASIN(SQRT(SIN(RADIANS(E6-Finder!$G$5)/2)^2+COS(RADIANS(Finder!$G$5))*COS(RADIANS(E6))*SIN(RADIANS(F6-Finder!$G$6)/2)^2)),"")</f>
        <v>2627.7950996900995</v>
      </c>
      <c r="R6" s="39">
        <f>IF(ISNUMBER(Q6),IF(Q6&lt;=Finder!$D$7,1,0),0)</f>
        <v>0</v>
      </c>
      <c r="S6" s="39" t="str">
        <f>IF(R6=1,O6+ROW()*0.000000001,"")</f>
        <v/>
      </c>
      <c r="T6" s="39" t="str">
        <f>IF(O6&gt;0,INDEX(Calc!$B$4:$B$11,MATCH(MAX(G6:N6),G6:N6,0)),"-")</f>
        <v>Cane Trash</v>
      </c>
    </row>
    <row r="7" spans="1:20">
      <c r="A7" s="39">
        <v>4</v>
      </c>
      <c r="B7" s="39" t="s">
        <v>66</v>
      </c>
      <c r="C7" s="39" t="s">
        <v>67</v>
      </c>
      <c r="D7" s="39" t="str">
        <f>B7&amp;"|"&amp;C7</f>
        <v>Andhra Pradesh|Alluri Sitharama Raju</v>
      </c>
      <c r="E7" s="40">
        <v>18.079999999999998</v>
      </c>
      <c r="F7" s="40">
        <v>82.67</v>
      </c>
      <c r="G7" s="41">
        <v>23.94</v>
      </c>
      <c r="H7" s="41">
        <v>0</v>
      </c>
      <c r="I7" s="41">
        <v>20.492799999999999</v>
      </c>
      <c r="J7" s="41">
        <v>0</v>
      </c>
      <c r="K7" s="41">
        <v>0.6008</v>
      </c>
      <c r="L7" s="41">
        <v>7.0099999999999996E-2</v>
      </c>
      <c r="M7" s="41">
        <v>0</v>
      </c>
      <c r="N7" s="41">
        <v>0</v>
      </c>
      <c r="O7" s="42">
        <f>SUM(G7:N7)</f>
        <v>45.103699999999996</v>
      </c>
      <c r="P7" s="42">
        <f>SUMPRODUCT(G7:N7,$G$2:$N$2)*1000/Assumptions!$C$15</f>
        <v>15.000098481818183</v>
      </c>
      <c r="Q7" s="43">
        <f>IF(ISNUMBER(Finder!$G$5),Finder!$D$8*Assumptions!$C$16*2*ASIN(SQRT(SIN(RADIANS(E7-Finder!$G$5)/2)^2+COS(RADIANS(Finder!$G$5))*COS(RADIANS(E7))*SIN(RADIANS(F7-Finder!$G$6)/2)^2)),"")</f>
        <v>1419.1600290005294</v>
      </c>
      <c r="R7" s="39">
        <f>IF(ISNUMBER(Q7),IF(Q7&lt;=Finder!$D$7,1,0),0)</f>
        <v>0</v>
      </c>
      <c r="S7" s="39" t="str">
        <f>IF(R7=1,O7+ROW()*0.000000001,"")</f>
        <v/>
      </c>
      <c r="T7" s="39" t="str">
        <f>IF(O7&gt;0,INDEX(Calc!$B$4:$B$11,MATCH(MAX(G7:N7),G7:N7,0)),"-")</f>
        <v>Paddy Straw</v>
      </c>
    </row>
    <row r="8" spans="1:20">
      <c r="A8" s="39">
        <v>5</v>
      </c>
      <c r="B8" s="39" t="s">
        <v>66</v>
      </c>
      <c r="C8" s="39" t="s">
        <v>68</v>
      </c>
      <c r="D8" s="39" t="str">
        <f>B8&amp;"|"&amp;C8</f>
        <v>Andhra Pradesh|Anakapalli</v>
      </c>
      <c r="E8" s="40">
        <v>17.690000000000001</v>
      </c>
      <c r="F8" s="40">
        <v>83</v>
      </c>
      <c r="G8" s="41">
        <v>24.36</v>
      </c>
      <c r="H8" s="41">
        <v>0</v>
      </c>
      <c r="I8" s="41">
        <v>0.72240000000000004</v>
      </c>
      <c r="J8" s="41">
        <v>0</v>
      </c>
      <c r="K8" s="41">
        <v>168.48519999999999</v>
      </c>
      <c r="L8" s="41">
        <v>19.656600000000001</v>
      </c>
      <c r="M8" s="41">
        <v>0</v>
      </c>
      <c r="N8" s="41">
        <v>0</v>
      </c>
      <c r="O8" s="42">
        <f>SUM(G8:N8)</f>
        <v>213.2242</v>
      </c>
      <c r="P8" s="42">
        <f>SUMPRODUCT(G8:N8,$G$2:$N$2)*1000/Assumptions!$C$15</f>
        <v>64.157391733137828</v>
      </c>
      <c r="Q8" s="43">
        <f>IF(ISNUMBER(Finder!$G$5),Finder!$D$8*Assumptions!$C$16*2*ASIN(SQRT(SIN(RADIANS(E8-Finder!$G$5)/2)^2+COS(RADIANS(Finder!$G$5))*COS(RADIANS(E8))*SIN(RADIANS(F8-Finder!$G$6)/2)^2)),"")</f>
        <v>1473.9716581362284</v>
      </c>
      <c r="R8" s="39">
        <f>IF(ISNUMBER(Q8),IF(Q8&lt;=Finder!$D$7,1,0),0)</f>
        <v>0</v>
      </c>
      <c r="S8" s="39" t="str">
        <f>IF(R8=1,O8+ROW()*0.000000001,"")</f>
        <v/>
      </c>
      <c r="T8" s="39" t="str">
        <f>IF(O8&gt;0,INDEX(Calc!$B$4:$B$11,MATCH(MAX(G8:N8),G8:N8,0)),"-")</f>
        <v>Cane Trash</v>
      </c>
    </row>
    <row r="9" spans="1:20">
      <c r="A9" s="39">
        <v>6</v>
      </c>
      <c r="B9" s="39" t="s">
        <v>66</v>
      </c>
      <c r="C9" s="39" t="s">
        <v>69</v>
      </c>
      <c r="D9" s="39" t="str">
        <f>B9&amp;"|"&amp;C9</f>
        <v>Andhra Pradesh|Ananthapuramu</v>
      </c>
      <c r="E9" s="40">
        <v>14.68</v>
      </c>
      <c r="F9" s="40">
        <v>77.599999999999994</v>
      </c>
      <c r="G9" s="41">
        <v>10.92</v>
      </c>
      <c r="H9" s="41">
        <v>0</v>
      </c>
      <c r="I9" s="41">
        <v>169.6191</v>
      </c>
      <c r="J9" s="41">
        <v>5.9999999999999995E-4</v>
      </c>
      <c r="K9" s="41">
        <v>0.57199999999999995</v>
      </c>
      <c r="L9" s="41">
        <v>6.6699999999999995E-2</v>
      </c>
      <c r="M9" s="41">
        <v>6.9195000000000002</v>
      </c>
      <c r="N9" s="41">
        <v>0</v>
      </c>
      <c r="O9" s="42">
        <f>SUM(G9:N9)</f>
        <v>188.09789999999998</v>
      </c>
      <c r="P9" s="42">
        <f>SUMPRODUCT(G9:N9,$G$2:$N$2)*1000/Assumptions!$C$15</f>
        <v>56.273676854252194</v>
      </c>
      <c r="Q9" s="43">
        <f>IF(ISNUMBER(Finder!$G$5),Finder!$D$8*Assumptions!$C$16*2*ASIN(SQRT(SIN(RADIANS(E9-Finder!$G$5)/2)^2+COS(RADIANS(Finder!$G$5))*COS(RADIANS(E9))*SIN(RADIANS(F9-Finder!$G$6)/2)^2)),"")</f>
        <v>1620.5447931271683</v>
      </c>
      <c r="R9" s="39">
        <f>IF(ISNUMBER(Q9),IF(Q9&lt;=Finder!$D$7,1,0),0)</f>
        <v>0</v>
      </c>
      <c r="S9" s="39" t="str">
        <f>IF(R9=1,O9+ROW()*0.000000001,"")</f>
        <v/>
      </c>
      <c r="T9" s="39" t="str">
        <f>IF(O9&gt;0,INDEX(Calc!$B$4:$B$11,MATCH(MAX(G9:N9),G9:N9,0)),"-")</f>
        <v>Maize Stover</v>
      </c>
    </row>
    <row r="10" spans="1:20">
      <c r="A10" s="39">
        <v>7</v>
      </c>
      <c r="B10" s="39" t="s">
        <v>66</v>
      </c>
      <c r="C10" s="39" t="s">
        <v>70</v>
      </c>
      <c r="D10" s="39" t="str">
        <f>B10&amp;"|"&amp;C10</f>
        <v>Andhra Pradesh|Annamayya</v>
      </c>
      <c r="E10" s="40">
        <v>14.06</v>
      </c>
      <c r="F10" s="40">
        <v>78.75</v>
      </c>
      <c r="G10" s="41">
        <v>5.04</v>
      </c>
      <c r="H10" s="41">
        <v>0</v>
      </c>
      <c r="I10" s="41">
        <v>20.692299999999999</v>
      </c>
      <c r="J10" s="41">
        <v>0</v>
      </c>
      <c r="K10" s="41">
        <v>2.0461999999999998</v>
      </c>
      <c r="L10" s="41">
        <v>0.2387</v>
      </c>
      <c r="M10" s="41">
        <v>1.4E-2</v>
      </c>
      <c r="N10" s="41">
        <v>0</v>
      </c>
      <c r="O10" s="42">
        <f>SUM(G10:N10)</f>
        <v>28.031199999999998</v>
      </c>
      <c r="P10" s="42">
        <f>SUMPRODUCT(G10:N10,$G$2:$N$2)*1000/Assumptions!$C$15</f>
        <v>8.6072975475073292</v>
      </c>
      <c r="Q10" s="43">
        <f>IF(ISNUMBER(Finder!$G$5),Finder!$D$8*Assumptions!$C$16*2*ASIN(SQRT(SIN(RADIANS(E10-Finder!$G$5)/2)^2+COS(RADIANS(Finder!$G$5))*COS(RADIANS(E10))*SIN(RADIANS(F10-Finder!$G$6)/2)^2)),"")</f>
        <v>1706.6751560105554</v>
      </c>
      <c r="R10" s="39">
        <f>IF(ISNUMBER(Q10),IF(Q10&lt;=Finder!$D$7,1,0),0)</f>
        <v>0</v>
      </c>
      <c r="S10" s="39" t="str">
        <f>IF(R10=1,O10+ROW()*0.000000001,"")</f>
        <v/>
      </c>
      <c r="T10" s="39" t="str">
        <f>IF(O10&gt;0,INDEX(Calc!$B$4:$B$11,MATCH(MAX(G10:N10),G10:N10,0)),"-")</f>
        <v>Maize Stover</v>
      </c>
    </row>
    <row r="11" spans="1:20">
      <c r="A11" s="39">
        <v>8</v>
      </c>
      <c r="B11" s="39" t="s">
        <v>66</v>
      </c>
      <c r="C11" s="39" t="s">
        <v>71</v>
      </c>
      <c r="D11" s="39" t="str">
        <f>B11&amp;"|"&amp;C11</f>
        <v>Andhra Pradesh|Bapatla</v>
      </c>
      <c r="E11" s="40">
        <v>15.9</v>
      </c>
      <c r="F11" s="40">
        <v>80.47</v>
      </c>
      <c r="G11" s="41">
        <v>42.84</v>
      </c>
      <c r="H11" s="41">
        <v>0</v>
      </c>
      <c r="I11" s="41">
        <v>497.197</v>
      </c>
      <c r="J11" s="41">
        <v>1.8E-3</v>
      </c>
      <c r="K11" s="41">
        <v>1.6921999999999999</v>
      </c>
      <c r="L11" s="41">
        <v>0.19739999999999999</v>
      </c>
      <c r="M11" s="41">
        <v>1.0657000000000001</v>
      </c>
      <c r="N11" s="41">
        <v>0</v>
      </c>
      <c r="O11" s="42">
        <f>SUM(G11:N11)</f>
        <v>542.9941</v>
      </c>
      <c r="P11" s="42">
        <f>SUMPRODUCT(G11:N11,$G$2:$N$2)*1000/Assumptions!$C$15</f>
        <v>162.85912004868035</v>
      </c>
      <c r="Q11" s="43">
        <f>IF(ISNUMBER(Finder!$G$5),Finder!$D$8*Assumptions!$C$16*2*ASIN(SQRT(SIN(RADIANS(E11-Finder!$G$5)/2)^2+COS(RADIANS(Finder!$G$5))*COS(RADIANS(E11))*SIN(RADIANS(F11-Finder!$G$6)/2)^2)),"")</f>
        <v>1551.4854640896012</v>
      </c>
      <c r="R11" s="39">
        <f>IF(ISNUMBER(Q11),IF(Q11&lt;=Finder!$D$7,1,0),0)</f>
        <v>0</v>
      </c>
      <c r="S11" s="39" t="str">
        <f>IF(R11=1,O11+ROW()*0.000000001,"")</f>
        <v/>
      </c>
      <c r="T11" s="39" t="str">
        <f>IF(O11&gt;0,INDEX(Calc!$B$4:$B$11,MATCH(MAX(G11:N11),G11:N11,0)),"-")</f>
        <v>Maize Stover</v>
      </c>
    </row>
    <row r="12" spans="1:20">
      <c r="A12" s="39">
        <v>9</v>
      </c>
      <c r="B12" s="39" t="s">
        <v>66</v>
      </c>
      <c r="C12" s="39" t="s">
        <v>72</v>
      </c>
      <c r="D12" s="39" t="str">
        <f>B12&amp;"|"&amp;C12</f>
        <v>Andhra Pradesh|Chittoor</v>
      </c>
      <c r="E12" s="40">
        <v>13.22</v>
      </c>
      <c r="F12" s="40">
        <v>79.099999999999994</v>
      </c>
      <c r="G12" s="41">
        <v>7.14</v>
      </c>
      <c r="H12" s="41">
        <v>0</v>
      </c>
      <c r="I12" s="41">
        <v>7.8246000000000002</v>
      </c>
      <c r="J12" s="41">
        <v>0</v>
      </c>
      <c r="K12" s="41">
        <v>132.16</v>
      </c>
      <c r="L12" s="41">
        <v>15.418699999999999</v>
      </c>
      <c r="M12" s="41">
        <v>0</v>
      </c>
      <c r="N12" s="41">
        <v>0</v>
      </c>
      <c r="O12" s="42">
        <f>SUM(G12:N12)</f>
        <v>162.54329999999999</v>
      </c>
      <c r="P12" s="42">
        <f>SUMPRODUCT(G12:N12,$G$2:$N$2)*1000/Assumptions!$C$15</f>
        <v>48.073372274780056</v>
      </c>
      <c r="Q12" s="43">
        <f>IF(ISNUMBER(Finder!$G$5),Finder!$D$8*Assumptions!$C$16*2*ASIN(SQRT(SIN(RADIANS(E12-Finder!$G$5)/2)^2+COS(RADIANS(Finder!$G$5))*COS(RADIANS(E12))*SIN(RADIANS(F12-Finder!$G$6)/2)^2)),"")</f>
        <v>1805.3476674607778</v>
      </c>
      <c r="R12" s="39">
        <f>IF(ISNUMBER(Q12),IF(Q12&lt;=Finder!$D$7,1,0),0)</f>
        <v>0</v>
      </c>
      <c r="S12" s="39" t="str">
        <f>IF(R12=1,O12+ROW()*0.000000001,"")</f>
        <v/>
      </c>
      <c r="T12" s="39" t="str">
        <f>IF(O12&gt;0,INDEX(Calc!$B$4:$B$11,MATCH(MAX(G12:N12),G12:N12,0)),"-")</f>
        <v>Cane Trash</v>
      </c>
    </row>
    <row r="13" spans="1:20">
      <c r="A13" s="39">
        <v>10</v>
      </c>
      <c r="B13" s="39" t="s">
        <v>66</v>
      </c>
      <c r="C13" s="39" t="s">
        <v>73</v>
      </c>
      <c r="D13" s="39" t="str">
        <f>B13&amp;"|"&amp;C13</f>
        <v>Andhra Pradesh|Dr. B.R. Ambedkar Konaseema</v>
      </c>
      <c r="E13" s="40">
        <v>16.579999999999998</v>
      </c>
      <c r="F13" s="40">
        <v>82.01</v>
      </c>
      <c r="G13" s="41">
        <v>55.02</v>
      </c>
      <c r="H13" s="41">
        <v>0</v>
      </c>
      <c r="I13" s="41">
        <v>11.594099999999999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2">
        <f>SUM(G13:N13)</f>
        <v>66.614100000000008</v>
      </c>
      <c r="P13" s="42">
        <f>SUMPRODUCT(G13:N13,$G$2:$N$2)*1000/Assumptions!$C$15</f>
        <v>23.578588374193547</v>
      </c>
      <c r="Q13" s="43">
        <f>IF(ISNUMBER(Finder!$G$5),Finder!$D$8*Assumptions!$C$16*2*ASIN(SQRT(SIN(RADIANS(E13-Finder!$G$5)/2)^2+COS(RADIANS(Finder!$G$5))*COS(RADIANS(E13))*SIN(RADIANS(F13-Finder!$G$6)/2)^2)),"")</f>
        <v>1538.2863294431472</v>
      </c>
      <c r="R13" s="39">
        <f>IF(ISNUMBER(Q13),IF(Q13&lt;=Finder!$D$7,1,0),0)</f>
        <v>0</v>
      </c>
      <c r="S13" s="39" t="str">
        <f>IF(R13=1,O13+ROW()*0.000000001,"")</f>
        <v/>
      </c>
      <c r="T13" s="39" t="str">
        <f>IF(O13&gt;0,INDEX(Calc!$B$4:$B$11,MATCH(MAX(G13:N13),G13:N13,0)),"-")</f>
        <v>Paddy Straw</v>
      </c>
    </row>
    <row r="14" spans="1:20">
      <c r="A14" s="39">
        <v>11</v>
      </c>
      <c r="B14" s="39" t="s">
        <v>66</v>
      </c>
      <c r="C14" s="39" t="s">
        <v>74</v>
      </c>
      <c r="D14" s="39" t="str">
        <f>B14&amp;"|"&amp;C14</f>
        <v>Andhra Pradesh|East Godavari</v>
      </c>
      <c r="E14" s="40">
        <v>17</v>
      </c>
      <c r="F14" s="40">
        <v>81.8</v>
      </c>
      <c r="G14" s="41">
        <v>55.86</v>
      </c>
      <c r="H14" s="41">
        <v>0</v>
      </c>
      <c r="I14" s="41">
        <v>102.5598</v>
      </c>
      <c r="J14" s="41">
        <v>0</v>
      </c>
      <c r="K14" s="41">
        <v>17.139099999999999</v>
      </c>
      <c r="L14" s="41">
        <v>1.9996</v>
      </c>
      <c r="M14" s="41">
        <v>0</v>
      </c>
      <c r="N14" s="41">
        <v>0</v>
      </c>
      <c r="O14" s="42">
        <f>SUM(G14:N14)</f>
        <v>177.55849999999998</v>
      </c>
      <c r="P14" s="42">
        <f>SUMPRODUCT(G14:N14,$G$2:$N$2)*1000/Assumptions!$C$15</f>
        <v>56.243398246334309</v>
      </c>
      <c r="Q14" s="43">
        <f>IF(ISNUMBER(Finder!$G$5),Finder!$D$8*Assumptions!$C$16*2*ASIN(SQRT(SIN(RADIANS(E14-Finder!$G$5)/2)^2+COS(RADIANS(Finder!$G$5))*COS(RADIANS(E14))*SIN(RADIANS(F14-Finder!$G$6)/2)^2)),"")</f>
        <v>1486.5409587004917</v>
      </c>
      <c r="R14" s="39">
        <f>IF(ISNUMBER(Q14),IF(Q14&lt;=Finder!$D$7,1,0),0)</f>
        <v>0</v>
      </c>
      <c r="S14" s="39" t="str">
        <f>IF(R14=1,O14+ROW()*0.000000001,"")</f>
        <v/>
      </c>
      <c r="T14" s="39" t="str">
        <f>IF(O14&gt;0,INDEX(Calc!$B$4:$B$11,MATCH(MAX(G14:N14),G14:N14,0)),"-")</f>
        <v>Maize Stover</v>
      </c>
    </row>
    <row r="15" spans="1:20">
      <c r="A15" s="39">
        <v>12</v>
      </c>
      <c r="B15" s="39" t="s">
        <v>66</v>
      </c>
      <c r="C15" s="39" t="s">
        <v>75</v>
      </c>
      <c r="D15" s="39" t="str">
        <f>B15&amp;"|"&amp;C15</f>
        <v>Andhra Pradesh|Eluru</v>
      </c>
      <c r="E15" s="40">
        <v>16.71</v>
      </c>
      <c r="F15" s="40">
        <v>81.099999999999994</v>
      </c>
      <c r="G15" s="41">
        <v>46.2</v>
      </c>
      <c r="H15" s="41">
        <v>0</v>
      </c>
      <c r="I15" s="41">
        <v>369.10759999999999</v>
      </c>
      <c r="J15" s="41">
        <v>5.9999999999999995E-4</v>
      </c>
      <c r="K15" s="41">
        <v>24.853300000000001</v>
      </c>
      <c r="L15" s="41">
        <v>2.8996</v>
      </c>
      <c r="M15" s="41">
        <v>0</v>
      </c>
      <c r="N15" s="41">
        <v>0</v>
      </c>
      <c r="O15" s="42">
        <f>SUM(G15:N15)</f>
        <v>443.06110000000001</v>
      </c>
      <c r="P15" s="42">
        <f>SUMPRODUCT(G15:N15,$G$2:$N$2)*1000/Assumptions!$C$15</f>
        <v>133.63510251378298</v>
      </c>
      <c r="Q15" s="43">
        <f>IF(ISNUMBER(Finder!$G$5),Finder!$D$8*Assumptions!$C$16*2*ASIN(SQRT(SIN(RADIANS(E15-Finder!$G$5)/2)^2+COS(RADIANS(Finder!$G$5))*COS(RADIANS(E15))*SIN(RADIANS(F15-Finder!$G$6)/2)^2)),"")</f>
        <v>1488.3230972379608</v>
      </c>
      <c r="R15" s="39">
        <f>IF(ISNUMBER(Q15),IF(Q15&lt;=Finder!$D$7,1,0),0)</f>
        <v>0</v>
      </c>
      <c r="S15" s="39" t="str">
        <f>IF(R15=1,O15+ROW()*0.000000001,"")</f>
        <v/>
      </c>
      <c r="T15" s="39" t="str">
        <f>IF(O15&gt;0,INDEX(Calc!$B$4:$B$11,MATCH(MAX(G15:N15),G15:N15,0)),"-")</f>
        <v>Maize Stover</v>
      </c>
    </row>
    <row r="16" spans="1:20">
      <c r="A16" s="39">
        <v>13</v>
      </c>
      <c r="B16" s="39" t="s">
        <v>66</v>
      </c>
      <c r="C16" s="39" t="s">
        <v>76</v>
      </c>
      <c r="D16" s="39" t="str">
        <f>B16&amp;"|"&amp;C16</f>
        <v>Andhra Pradesh|Guntur</v>
      </c>
      <c r="E16" s="40">
        <v>16.309999999999999</v>
      </c>
      <c r="F16" s="40">
        <v>80.44</v>
      </c>
      <c r="G16" s="41">
        <v>24.36</v>
      </c>
      <c r="H16" s="41">
        <v>0</v>
      </c>
      <c r="I16" s="41">
        <v>340.50450000000001</v>
      </c>
      <c r="J16" s="41">
        <v>0</v>
      </c>
      <c r="K16" s="41">
        <v>1.0526</v>
      </c>
      <c r="L16" s="41">
        <v>0.12280000000000001</v>
      </c>
      <c r="M16" s="41">
        <v>1.7955000000000001</v>
      </c>
      <c r="N16" s="41">
        <v>0</v>
      </c>
      <c r="O16" s="42">
        <f>SUM(G16:N16)</f>
        <v>367.83539999999999</v>
      </c>
      <c r="P16" s="42">
        <f>SUMPRODUCT(G16:N16,$G$2:$N$2)*1000/Assumptions!$C$15</f>
        <v>110.01019935131966</v>
      </c>
      <c r="Q16" s="43">
        <f>IF(ISNUMBER(Finder!$G$5),Finder!$D$8*Assumptions!$C$16*2*ASIN(SQRT(SIN(RADIANS(E16-Finder!$G$5)/2)^2+COS(RADIANS(Finder!$G$5))*COS(RADIANS(E16))*SIN(RADIANS(F16-Finder!$G$6)/2)^2)),"")</f>
        <v>1507.0706493273749</v>
      </c>
      <c r="R16" s="39">
        <f>IF(ISNUMBER(Q16),IF(Q16&lt;=Finder!$D$7,1,0),0)</f>
        <v>0</v>
      </c>
      <c r="S16" s="39" t="str">
        <f>IF(R16=1,O16+ROW()*0.000000001,"")</f>
        <v/>
      </c>
      <c r="T16" s="39" t="str">
        <f>IF(O16&gt;0,INDEX(Calc!$B$4:$B$11,MATCH(MAX(G16:N16),G16:N16,0)),"-")</f>
        <v>Maize Stover</v>
      </c>
    </row>
    <row r="17" spans="1:20">
      <c r="A17" s="39">
        <v>14</v>
      </c>
      <c r="B17" s="39" t="s">
        <v>66</v>
      </c>
      <c r="C17" s="39" t="s">
        <v>77</v>
      </c>
      <c r="D17" s="39" t="str">
        <f>B17&amp;"|"&amp;C17</f>
        <v>Andhra Pradesh|Kakinada</v>
      </c>
      <c r="E17" s="40">
        <v>16.989999999999998</v>
      </c>
      <c r="F17" s="40">
        <v>82.25</v>
      </c>
      <c r="G17" s="41">
        <v>63.84</v>
      </c>
      <c r="H17" s="41">
        <v>0</v>
      </c>
      <c r="I17" s="41">
        <v>5.0042999999999997</v>
      </c>
      <c r="J17" s="41">
        <v>0</v>
      </c>
      <c r="K17" s="41">
        <v>10.8675</v>
      </c>
      <c r="L17" s="41">
        <v>1.2679</v>
      </c>
      <c r="M17" s="41">
        <v>0</v>
      </c>
      <c r="N17" s="41">
        <v>0</v>
      </c>
      <c r="O17" s="42">
        <f>SUM(G17:N17)</f>
        <v>80.979700000000008</v>
      </c>
      <c r="P17" s="42">
        <f>SUMPRODUCT(G17:N17,$G$2:$N$2)*1000/Assumptions!$C$15</f>
        <v>28.421574412023464</v>
      </c>
      <c r="Q17" s="43">
        <f>IF(ISNUMBER(Finder!$G$5),Finder!$D$8*Assumptions!$C$16*2*ASIN(SQRT(SIN(RADIANS(E17-Finder!$G$5)/2)^2+COS(RADIANS(Finder!$G$5))*COS(RADIANS(E17))*SIN(RADIANS(F17-Finder!$G$6)/2)^2)),"")</f>
        <v>1507.2689109201742</v>
      </c>
      <c r="R17" s="39">
        <f>IF(ISNUMBER(Q17),IF(Q17&lt;=Finder!$D$7,1,0),0)</f>
        <v>0</v>
      </c>
      <c r="S17" s="39" t="str">
        <f>IF(R17=1,O17+ROW()*0.000000001,"")</f>
        <v/>
      </c>
      <c r="T17" s="39" t="str">
        <f>IF(O17&gt;0,INDEX(Calc!$B$4:$B$11,MATCH(MAX(G17:N17),G17:N17,0)),"-")</f>
        <v>Paddy Straw</v>
      </c>
    </row>
    <row r="18" spans="1:20">
      <c r="A18" s="39">
        <v>15</v>
      </c>
      <c r="B18" s="39" t="s">
        <v>66</v>
      </c>
      <c r="C18" s="39" t="s">
        <v>78</v>
      </c>
      <c r="D18" s="39" t="str">
        <f>B18&amp;"|"&amp;C18</f>
        <v>Andhra Pradesh|Krishna</v>
      </c>
      <c r="E18" s="40">
        <v>16.190000000000001</v>
      </c>
      <c r="F18" s="40">
        <v>81.14</v>
      </c>
      <c r="G18" s="41">
        <v>66.78</v>
      </c>
      <c r="H18" s="41">
        <v>0</v>
      </c>
      <c r="I18" s="41">
        <v>54.554900000000004</v>
      </c>
      <c r="J18" s="41">
        <v>4.3E-3</v>
      </c>
      <c r="K18" s="41">
        <v>63.600099999999998</v>
      </c>
      <c r="L18" s="41">
        <v>7.42</v>
      </c>
      <c r="M18" s="41">
        <v>0</v>
      </c>
      <c r="N18" s="41">
        <v>0</v>
      </c>
      <c r="O18" s="42">
        <f>SUM(G18:N18)</f>
        <v>192.35929999999999</v>
      </c>
      <c r="P18" s="42">
        <f>SUMPRODUCT(G18:N18,$G$2:$N$2)*1000/Assumptions!$C$15</f>
        <v>61.296210350733141</v>
      </c>
      <c r="Q18" s="43">
        <f>IF(ISNUMBER(Finder!$G$5),Finder!$D$8*Assumptions!$C$16*2*ASIN(SQRT(SIN(RADIANS(E18-Finder!$G$5)/2)^2+COS(RADIANS(Finder!$G$5))*COS(RADIANS(E18))*SIN(RADIANS(F18-Finder!$G$6)/2)^2)),"")</f>
        <v>1544.0027713706886</v>
      </c>
      <c r="R18" s="39">
        <f>IF(ISNUMBER(Q18),IF(Q18&lt;=Finder!$D$7,1,0),0)</f>
        <v>0</v>
      </c>
      <c r="S18" s="39" t="str">
        <f>IF(R18=1,O18+ROW()*0.000000001,"")</f>
        <v/>
      </c>
      <c r="T18" s="39" t="str">
        <f>IF(O18&gt;0,INDEX(Calc!$B$4:$B$11,MATCH(MAX(G18:N18),G18:N18,0)),"-")</f>
        <v>Paddy Straw</v>
      </c>
    </row>
    <row r="19" spans="1:20">
      <c r="A19" s="39">
        <v>16</v>
      </c>
      <c r="B19" s="39" t="s">
        <v>66</v>
      </c>
      <c r="C19" s="39" t="s">
        <v>79</v>
      </c>
      <c r="D19" s="39" t="str">
        <f>B19&amp;"|"&amp;C19</f>
        <v>Andhra Pradesh|Kurnool</v>
      </c>
      <c r="E19" s="40">
        <v>15.83</v>
      </c>
      <c r="F19" s="40">
        <v>78.040000000000006</v>
      </c>
      <c r="G19" s="41">
        <v>7.14</v>
      </c>
      <c r="H19" s="41">
        <v>0</v>
      </c>
      <c r="I19" s="41">
        <v>76.9041</v>
      </c>
      <c r="J19" s="41">
        <v>0</v>
      </c>
      <c r="K19" s="41">
        <v>2.7671000000000001</v>
      </c>
      <c r="L19" s="41">
        <v>0.32279999999999998</v>
      </c>
      <c r="M19" s="41">
        <v>0.38500000000000001</v>
      </c>
      <c r="N19" s="41">
        <v>0</v>
      </c>
      <c r="O19" s="42">
        <f>SUM(G19:N19)</f>
        <v>87.519000000000005</v>
      </c>
      <c r="P19" s="42">
        <f>SUMPRODUCT(G19:N19,$G$2:$N$2)*1000/Assumptions!$C$15</f>
        <v>26.266104159530798</v>
      </c>
      <c r="Q19" s="43">
        <f>IF(ISNUMBER(Finder!$G$5),Finder!$D$8*Assumptions!$C$16*2*ASIN(SQRT(SIN(RADIANS(E19-Finder!$G$5)/2)^2+COS(RADIANS(Finder!$G$5))*COS(RADIANS(E19))*SIN(RADIANS(F19-Finder!$G$6)/2)^2)),"")</f>
        <v>1500.0427822696693</v>
      </c>
      <c r="R19" s="39">
        <f>IF(ISNUMBER(Q19),IF(Q19&lt;=Finder!$D$7,1,0),0)</f>
        <v>0</v>
      </c>
      <c r="S19" s="39" t="str">
        <f>IF(R19=1,O19+ROW()*0.000000001,"")</f>
        <v/>
      </c>
      <c r="T19" s="39" t="str">
        <f>IF(O19&gt;0,INDEX(Calc!$B$4:$B$11,MATCH(MAX(G19:N19),G19:N19,0)),"-")</f>
        <v>Maize Stover</v>
      </c>
    </row>
    <row r="20" spans="1:20">
      <c r="A20" s="39">
        <v>17</v>
      </c>
      <c r="B20" s="39" t="s">
        <v>66</v>
      </c>
      <c r="C20" s="39" t="s">
        <v>80</v>
      </c>
      <c r="D20" s="39" t="str">
        <f>B20&amp;"|"&amp;C20</f>
        <v>Andhra Pradesh|Nandyal</v>
      </c>
      <c r="E20" s="40">
        <v>15.48</v>
      </c>
      <c r="F20" s="40">
        <v>78.48</v>
      </c>
      <c r="G20" s="41">
        <v>45.36</v>
      </c>
      <c r="H20" s="41">
        <v>0</v>
      </c>
      <c r="I20" s="41">
        <v>343.3741</v>
      </c>
      <c r="J20" s="41">
        <v>0.81089999999999995</v>
      </c>
      <c r="K20" s="41">
        <v>0.31409999999999999</v>
      </c>
      <c r="L20" s="41">
        <v>3.6600000000000001E-2</v>
      </c>
      <c r="M20" s="41">
        <v>19.241299999999999</v>
      </c>
      <c r="N20" s="41">
        <v>0</v>
      </c>
      <c r="O20" s="42">
        <f>SUM(G20:N20)</f>
        <v>409.13700000000006</v>
      </c>
      <c r="P20" s="42">
        <f>SUMPRODUCT(G20:N20,$G$2:$N$2)*1000/Assumptions!$C$15</f>
        <v>124.05861608621703</v>
      </c>
      <c r="Q20" s="43">
        <f>IF(ISNUMBER(Finder!$G$5),Finder!$D$8*Assumptions!$C$16*2*ASIN(SQRT(SIN(RADIANS(E20-Finder!$G$5)/2)^2+COS(RADIANS(Finder!$G$5))*COS(RADIANS(E20))*SIN(RADIANS(F20-Finder!$G$6)/2)^2)),"")</f>
        <v>1546.1350542686698</v>
      </c>
      <c r="R20" s="39">
        <f>IF(ISNUMBER(Q20),IF(Q20&lt;=Finder!$D$7,1,0),0)</f>
        <v>0</v>
      </c>
      <c r="S20" s="39" t="str">
        <f>IF(R20=1,O20+ROW()*0.000000001,"")</f>
        <v/>
      </c>
      <c r="T20" s="39" t="str">
        <f>IF(O20&gt;0,INDEX(Calc!$B$4:$B$11,MATCH(MAX(G20:N20),G20:N20,0)),"-")</f>
        <v>Maize Stover</v>
      </c>
    </row>
    <row r="21" spans="1:20">
      <c r="A21" s="39">
        <v>18</v>
      </c>
      <c r="B21" s="39" t="s">
        <v>66</v>
      </c>
      <c r="C21" s="39" t="s">
        <v>81</v>
      </c>
      <c r="D21" s="39" t="str">
        <f>B21&amp;"|"&amp;C21</f>
        <v>Andhra Pradesh|Ntr</v>
      </c>
      <c r="E21" s="40">
        <v>16.510000000000002</v>
      </c>
      <c r="F21" s="40">
        <v>80.650000000000006</v>
      </c>
      <c r="G21" s="41">
        <v>28.14</v>
      </c>
      <c r="H21" s="41">
        <v>0</v>
      </c>
      <c r="I21" s="41">
        <v>77.212800000000001</v>
      </c>
      <c r="J21" s="41">
        <v>0</v>
      </c>
      <c r="K21" s="41">
        <v>8.3103999999999996</v>
      </c>
      <c r="L21" s="41">
        <v>0.96950000000000003</v>
      </c>
      <c r="M21" s="41">
        <v>0</v>
      </c>
      <c r="N21" s="41">
        <v>0</v>
      </c>
      <c r="O21" s="42">
        <f>SUM(G21:N21)</f>
        <v>114.6327</v>
      </c>
      <c r="P21" s="42">
        <f>SUMPRODUCT(G21:N21,$G$2:$N$2)*1000/Assumptions!$C$15</f>
        <v>35.743034905865102</v>
      </c>
      <c r="Q21" s="43">
        <f>IF(ISNUMBER(Finder!$G$5),Finder!$D$8*Assumptions!$C$16*2*ASIN(SQRT(SIN(RADIANS(E21-Finder!$G$5)/2)^2+COS(RADIANS(Finder!$G$5))*COS(RADIANS(E21))*SIN(RADIANS(F21-Finder!$G$6)/2)^2)),"")</f>
        <v>1493.0176193320801</v>
      </c>
      <c r="R21" s="39">
        <f>IF(ISNUMBER(Q21),IF(Q21&lt;=Finder!$D$7,1,0),0)</f>
        <v>0</v>
      </c>
      <c r="S21" s="39" t="str">
        <f>IF(R21=1,O21+ROW()*0.000000001,"")</f>
        <v/>
      </c>
      <c r="T21" s="39" t="str">
        <f>IF(O21&gt;0,INDEX(Calc!$B$4:$B$11,MATCH(MAX(G21:N21),G21:N21,0)),"-")</f>
        <v>Maize Stover</v>
      </c>
    </row>
    <row r="22" spans="1:20">
      <c r="A22" s="39">
        <v>19</v>
      </c>
      <c r="B22" s="39" t="s">
        <v>66</v>
      </c>
      <c r="C22" s="39" t="s">
        <v>82</v>
      </c>
      <c r="D22" s="39" t="str">
        <f>B22&amp;"|"&amp;C22</f>
        <v>Andhra Pradesh|Palnadu</v>
      </c>
      <c r="E22" s="40">
        <v>16.239999999999998</v>
      </c>
      <c r="F22" s="40">
        <v>80.05</v>
      </c>
      <c r="G22" s="41">
        <v>23.52</v>
      </c>
      <c r="H22" s="41">
        <v>0</v>
      </c>
      <c r="I22" s="41">
        <v>103.0155</v>
      </c>
      <c r="J22" s="41">
        <v>0</v>
      </c>
      <c r="K22" s="41">
        <v>0.55349999999999999</v>
      </c>
      <c r="L22" s="41">
        <v>6.4600000000000005E-2</v>
      </c>
      <c r="M22" s="41">
        <v>1.0482</v>
      </c>
      <c r="N22" s="41">
        <v>0</v>
      </c>
      <c r="O22" s="42">
        <f>SUM(G22:N22)</f>
        <v>128.20179999999999</v>
      </c>
      <c r="P22" s="42">
        <f>SUMPRODUCT(G22:N22,$G$2:$N$2)*1000/Assumptions!$C$15</f>
        <v>39.438390770087977</v>
      </c>
      <c r="Q22" s="43">
        <f>IF(ISNUMBER(Finder!$G$5),Finder!$D$8*Assumptions!$C$16*2*ASIN(SQRT(SIN(RADIANS(E22-Finder!$G$5)/2)^2+COS(RADIANS(Finder!$G$5))*COS(RADIANS(E22))*SIN(RADIANS(F22-Finder!$G$6)/2)^2)),"")</f>
        <v>1502.2501348906237</v>
      </c>
      <c r="R22" s="39">
        <f>IF(ISNUMBER(Q22),IF(Q22&lt;=Finder!$D$7,1,0),0)</f>
        <v>0</v>
      </c>
      <c r="S22" s="39" t="str">
        <f>IF(R22=1,O22+ROW()*0.000000001,"")</f>
        <v/>
      </c>
      <c r="T22" s="39" t="str">
        <f>IF(O22&gt;0,INDEX(Calc!$B$4:$B$11,MATCH(MAX(G22:N22),G22:N22,0)),"-")</f>
        <v>Maize Stover</v>
      </c>
    </row>
    <row r="23" spans="1:20">
      <c r="A23" s="39">
        <v>20</v>
      </c>
      <c r="B23" s="39" t="s">
        <v>66</v>
      </c>
      <c r="C23" s="39" t="s">
        <v>83</v>
      </c>
      <c r="D23" s="39" t="str">
        <f>B23&amp;"|"&amp;C23</f>
        <v>Andhra Pradesh|Parvathipuram Manyam</v>
      </c>
      <c r="E23" s="40">
        <v>18.78</v>
      </c>
      <c r="F23" s="40">
        <v>83.43</v>
      </c>
      <c r="G23" s="41">
        <v>31.08</v>
      </c>
      <c r="H23" s="41">
        <v>0</v>
      </c>
      <c r="I23" s="41">
        <v>60.628</v>
      </c>
      <c r="J23" s="41">
        <v>0</v>
      </c>
      <c r="K23" s="41">
        <v>14.3597</v>
      </c>
      <c r="L23" s="41">
        <v>1.6753</v>
      </c>
      <c r="M23" s="41">
        <v>0</v>
      </c>
      <c r="N23" s="41">
        <v>0</v>
      </c>
      <c r="O23" s="42">
        <f>SUM(G23:N23)</f>
        <v>107.74299999999999</v>
      </c>
      <c r="P23" s="42">
        <f>SUMPRODUCT(G23:N23,$G$2:$N$2)*1000/Assumptions!$C$15</f>
        <v>33.917046541642229</v>
      </c>
      <c r="Q23" s="43">
        <f>IF(ISNUMBER(Finder!$G$5),Finder!$D$8*Assumptions!$C$16*2*ASIN(SQRT(SIN(RADIANS(E23-Finder!$G$5)/2)^2+COS(RADIANS(Finder!$G$5))*COS(RADIANS(E23))*SIN(RADIANS(F23-Finder!$G$6)/2)^2)),"")</f>
        <v>1393.0256587864683</v>
      </c>
      <c r="R23" s="39">
        <f>IF(ISNUMBER(Q23),IF(Q23&lt;=Finder!$D$7,1,0),0)</f>
        <v>0</v>
      </c>
      <c r="S23" s="39" t="str">
        <f>IF(R23=1,O23+ROW()*0.000000001,"")</f>
        <v/>
      </c>
      <c r="T23" s="39" t="str">
        <f>IF(O23&gt;0,INDEX(Calc!$B$4:$B$11,MATCH(MAX(G23:N23),G23:N23,0)),"-")</f>
        <v>Maize Stover</v>
      </c>
    </row>
    <row r="24" spans="1:20">
      <c r="A24" s="39">
        <v>21</v>
      </c>
      <c r="B24" s="39" t="s">
        <v>66</v>
      </c>
      <c r="C24" s="39" t="s">
        <v>84</v>
      </c>
      <c r="D24" s="39" t="str">
        <f>B24&amp;"|"&amp;C24</f>
        <v>Andhra Pradesh|Prakasam</v>
      </c>
      <c r="E24" s="40">
        <v>15.5</v>
      </c>
      <c r="F24" s="40">
        <v>80.05</v>
      </c>
      <c r="G24" s="41">
        <v>9.66</v>
      </c>
      <c r="H24" s="41">
        <v>0</v>
      </c>
      <c r="I24" s="41">
        <v>48.576099999999997</v>
      </c>
      <c r="J24" s="41">
        <v>5.9999999999999995E-4</v>
      </c>
      <c r="K24" s="41">
        <v>0.95740000000000003</v>
      </c>
      <c r="L24" s="41">
        <v>0.11169999999999999</v>
      </c>
      <c r="M24" s="41">
        <v>0.63349999999999995</v>
      </c>
      <c r="N24" s="41">
        <v>0</v>
      </c>
      <c r="O24" s="42">
        <f>SUM(G24:N24)</f>
        <v>59.939299999999989</v>
      </c>
      <c r="P24" s="42">
        <f>SUMPRODUCT(G24:N24,$G$2:$N$2)*1000/Assumptions!$C$15</f>
        <v>18.343969266568912</v>
      </c>
      <c r="Q24" s="43">
        <f>IF(ISNUMBER(Finder!$G$5),Finder!$D$8*Assumptions!$C$16*2*ASIN(SQRT(SIN(RADIANS(E24-Finder!$G$5)/2)^2+COS(RADIANS(Finder!$G$5))*COS(RADIANS(E24))*SIN(RADIANS(F24-Finder!$G$6)/2)^2)),"")</f>
        <v>1581.3561236327182</v>
      </c>
      <c r="R24" s="39">
        <f>IF(ISNUMBER(Q24),IF(Q24&lt;=Finder!$D$7,1,0),0)</f>
        <v>0</v>
      </c>
      <c r="S24" s="39" t="str">
        <f>IF(R24=1,O24+ROW()*0.000000001,"")</f>
        <v/>
      </c>
      <c r="T24" s="39" t="str">
        <f>IF(O24&gt;0,INDEX(Calc!$B$4:$B$11,MATCH(MAX(G24:N24),G24:N24,0)),"-")</f>
        <v>Maize Stover</v>
      </c>
    </row>
    <row r="25" spans="1:20">
      <c r="A25" s="39">
        <v>22</v>
      </c>
      <c r="B25" s="39" t="s">
        <v>66</v>
      </c>
      <c r="C25" s="39" t="s">
        <v>85</v>
      </c>
      <c r="D25" s="39" t="str">
        <f>B25&amp;"|"&amp;C25</f>
        <v>Andhra Pradesh|Sri Potti Sriramulu Nellore</v>
      </c>
      <c r="E25" s="40">
        <v>14.44</v>
      </c>
      <c r="F25" s="40">
        <v>79.989999999999995</v>
      </c>
      <c r="G25" s="41">
        <v>59.22</v>
      </c>
      <c r="H25" s="41">
        <v>0</v>
      </c>
      <c r="I25" s="41">
        <v>4.3680000000000003</v>
      </c>
      <c r="J25" s="41">
        <v>1.1999999999999999E-3</v>
      </c>
      <c r="K25" s="41">
        <v>0</v>
      </c>
      <c r="L25" s="41">
        <v>0</v>
      </c>
      <c r="M25" s="41">
        <v>4.5499999999999999E-2</v>
      </c>
      <c r="N25" s="41">
        <v>0</v>
      </c>
      <c r="O25" s="42">
        <f>SUM(G25:N25)</f>
        <v>63.634699999999995</v>
      </c>
      <c r="P25" s="42">
        <f>SUMPRODUCT(G25:N25,$G$2:$N$2)*1000/Assumptions!$C$15</f>
        <v>23.007050408211143</v>
      </c>
      <c r="Q25" s="43">
        <f>IF(ISNUMBER(Finder!$G$5),Finder!$D$8*Assumptions!$C$16*2*ASIN(SQRT(SIN(RADIANS(E25-Finder!$G$5)/2)^2+COS(RADIANS(Finder!$G$5))*COS(RADIANS(E25))*SIN(RADIANS(F25-Finder!$G$6)/2)^2)),"")</f>
        <v>1693.5772823960565</v>
      </c>
      <c r="R25" s="39">
        <f>IF(ISNUMBER(Q25),IF(Q25&lt;=Finder!$D$7,1,0),0)</f>
        <v>0</v>
      </c>
      <c r="S25" s="39" t="str">
        <f>IF(R25=1,O25+ROW()*0.000000001,"")</f>
        <v/>
      </c>
      <c r="T25" s="39" t="str">
        <f>IF(O25&gt;0,INDEX(Calc!$B$4:$B$11,MATCH(MAX(G25:N25),G25:N25,0)),"-")</f>
        <v>Paddy Straw</v>
      </c>
    </row>
    <row r="26" spans="1:20">
      <c r="A26" s="39">
        <v>23</v>
      </c>
      <c r="B26" s="39" t="s">
        <v>66</v>
      </c>
      <c r="C26" s="39" t="s">
        <v>86</v>
      </c>
      <c r="D26" s="39" t="str">
        <f>B26&amp;"|"&amp;C26</f>
        <v>Andhra Pradesh|Sri Sathya Sai</v>
      </c>
      <c r="E26" s="40">
        <v>14.17</v>
      </c>
      <c r="F26" s="40">
        <v>77.81</v>
      </c>
      <c r="G26" s="41">
        <v>5.04</v>
      </c>
      <c r="H26" s="41">
        <v>0</v>
      </c>
      <c r="I26" s="41">
        <v>87.248699999999999</v>
      </c>
      <c r="J26" s="41">
        <v>0</v>
      </c>
      <c r="K26" s="41">
        <v>0.3503</v>
      </c>
      <c r="L26" s="41">
        <v>4.0899999999999999E-2</v>
      </c>
      <c r="M26" s="41">
        <v>4.2000000000000003E-2</v>
      </c>
      <c r="N26" s="41">
        <v>0</v>
      </c>
      <c r="O26" s="42">
        <f>SUM(G26:N26)</f>
        <v>92.721900000000005</v>
      </c>
      <c r="P26" s="42">
        <f>SUMPRODUCT(G26:N26,$G$2:$N$2)*1000/Assumptions!$C$15</f>
        <v>27.642065275953076</v>
      </c>
      <c r="Q26" s="43">
        <f>IF(ISNUMBER(Finder!$G$5),Finder!$D$8*Assumptions!$C$16*2*ASIN(SQRT(SIN(RADIANS(E26-Finder!$G$5)/2)^2+COS(RADIANS(Finder!$G$5))*COS(RADIANS(E26))*SIN(RADIANS(F26-Finder!$G$6)/2)^2)),"")</f>
        <v>1679.5279281190592</v>
      </c>
      <c r="R26" s="39">
        <f>IF(ISNUMBER(Q26),IF(Q26&lt;=Finder!$D$7,1,0),0)</f>
        <v>0</v>
      </c>
      <c r="S26" s="39" t="str">
        <f>IF(R26=1,O26+ROW()*0.000000001,"")</f>
        <v/>
      </c>
      <c r="T26" s="39" t="str">
        <f>IF(O26&gt;0,INDEX(Calc!$B$4:$B$11,MATCH(MAX(G26:N26),G26:N26,0)),"-")</f>
        <v>Maize Stover</v>
      </c>
    </row>
    <row r="27" spans="1:20">
      <c r="A27" s="39">
        <v>24</v>
      </c>
      <c r="B27" s="39" t="s">
        <v>66</v>
      </c>
      <c r="C27" s="39" t="s">
        <v>87</v>
      </c>
      <c r="D27" s="39" t="str">
        <f>B27&amp;"|"&amp;C27</f>
        <v>Andhra Pradesh|Srikakulam</v>
      </c>
      <c r="E27" s="40">
        <v>18.3</v>
      </c>
      <c r="F27" s="40">
        <v>83.9</v>
      </c>
      <c r="G27" s="41">
        <v>63.84</v>
      </c>
      <c r="H27" s="41">
        <v>0</v>
      </c>
      <c r="I27" s="41">
        <v>201.4666</v>
      </c>
      <c r="J27" s="41">
        <v>5.9999999999999995E-4</v>
      </c>
      <c r="K27" s="41">
        <v>15.3468</v>
      </c>
      <c r="L27" s="41">
        <v>1.7905</v>
      </c>
      <c r="M27" s="41">
        <v>0</v>
      </c>
      <c r="N27" s="41">
        <v>0</v>
      </c>
      <c r="O27" s="42">
        <f>SUM(G27:N27)</f>
        <v>282.44450000000001</v>
      </c>
      <c r="P27" s="42">
        <f>SUMPRODUCT(G27:N27,$G$2:$N$2)*1000/Assumptions!$C$15</f>
        <v>87.680018914662753</v>
      </c>
      <c r="Q27" s="43">
        <f>IF(ISNUMBER(Finder!$G$5),Finder!$D$8*Assumptions!$C$16*2*ASIN(SQRT(SIN(RADIANS(E27-Finder!$G$5)/2)^2+COS(RADIANS(Finder!$G$5))*COS(RADIANS(E27))*SIN(RADIANS(F27-Finder!$G$6)/2)^2)),"")</f>
        <v>1464.7468013543892</v>
      </c>
      <c r="R27" s="39">
        <f>IF(ISNUMBER(Q27),IF(Q27&lt;=Finder!$D$7,1,0),0)</f>
        <v>0</v>
      </c>
      <c r="S27" s="39" t="str">
        <f>IF(R27=1,O27+ROW()*0.000000001,"")</f>
        <v/>
      </c>
      <c r="T27" s="39" t="str">
        <f>IF(O27&gt;0,INDEX(Calc!$B$4:$B$11,MATCH(MAX(G27:N27),G27:N27,0)),"-")</f>
        <v>Maize Stover</v>
      </c>
    </row>
    <row r="28" spans="1:20">
      <c r="A28" s="39">
        <v>25</v>
      </c>
      <c r="B28" s="39" t="s">
        <v>66</v>
      </c>
      <c r="C28" s="39" t="s">
        <v>88</v>
      </c>
      <c r="D28" s="39" t="str">
        <f>B28&amp;"|"&amp;C28</f>
        <v>Andhra Pradesh|Tirupati</v>
      </c>
      <c r="E28" s="40">
        <v>13.63</v>
      </c>
      <c r="F28" s="40">
        <v>79.42</v>
      </c>
      <c r="G28" s="41">
        <v>42.42</v>
      </c>
      <c r="H28" s="41">
        <v>0</v>
      </c>
      <c r="I28" s="41">
        <v>0.26150000000000001</v>
      </c>
      <c r="J28" s="41">
        <v>0</v>
      </c>
      <c r="K28" s="41">
        <v>34.511400000000002</v>
      </c>
      <c r="L28" s="41">
        <v>4.0263</v>
      </c>
      <c r="M28" s="41">
        <v>0</v>
      </c>
      <c r="N28" s="41">
        <v>0</v>
      </c>
      <c r="O28" s="42">
        <f>SUM(G28:N28)</f>
        <v>81.219200000000015</v>
      </c>
      <c r="P28" s="42">
        <f>SUMPRODUCT(G28:N28,$G$2:$N$2)*1000/Assumptions!$C$15</f>
        <v>26.895192816715543</v>
      </c>
      <c r="Q28" s="43">
        <f>IF(ISNUMBER(Finder!$G$5),Finder!$D$8*Assumptions!$C$16*2*ASIN(SQRT(SIN(RADIANS(E28-Finder!$G$5)/2)^2+COS(RADIANS(Finder!$G$5))*COS(RADIANS(E28))*SIN(RADIANS(F28-Finder!$G$6)/2)^2)),"")</f>
        <v>1767.378825422827</v>
      </c>
      <c r="R28" s="39">
        <f>IF(ISNUMBER(Q28),IF(Q28&lt;=Finder!$D$7,1,0),0)</f>
        <v>0</v>
      </c>
      <c r="S28" s="39" t="str">
        <f>IF(R28=1,O28+ROW()*0.000000001,"")</f>
        <v/>
      </c>
      <c r="T28" s="39" t="str">
        <f>IF(O28&gt;0,INDEX(Calc!$B$4:$B$11,MATCH(MAX(G28:N28),G28:N28,0)),"-")</f>
        <v>Paddy Straw</v>
      </c>
    </row>
    <row r="29" spans="1:20">
      <c r="A29" s="39">
        <v>26</v>
      </c>
      <c r="B29" s="39" t="s">
        <v>66</v>
      </c>
      <c r="C29" s="39" t="s">
        <v>89</v>
      </c>
      <c r="D29" s="39" t="str">
        <f>B29&amp;"|"&amp;C29</f>
        <v>Andhra Pradesh|Visakhapatnam</v>
      </c>
      <c r="E29" s="40">
        <v>17.690000000000001</v>
      </c>
      <c r="F29" s="40">
        <v>83.22</v>
      </c>
      <c r="G29" s="41">
        <v>2.1</v>
      </c>
      <c r="H29" s="41">
        <v>0</v>
      </c>
      <c r="I29" s="41">
        <v>4.367</v>
      </c>
      <c r="J29" s="41">
        <v>0</v>
      </c>
      <c r="K29" s="41">
        <v>0.48780000000000001</v>
      </c>
      <c r="L29" s="41">
        <v>5.6899999999999999E-2</v>
      </c>
      <c r="M29" s="41">
        <v>0</v>
      </c>
      <c r="N29" s="41">
        <v>0</v>
      </c>
      <c r="O29" s="42">
        <f>SUM(G29:N29)</f>
        <v>7.0117000000000003</v>
      </c>
      <c r="P29" s="42">
        <f>SUMPRODUCT(G29:N29,$G$2:$N$2)*1000/Assumptions!$C$15</f>
        <v>2.2137364865102636</v>
      </c>
      <c r="Q29" s="43">
        <f>IF(ISNUMBER(Finder!$G$5),Finder!$D$8*Assumptions!$C$16*2*ASIN(SQRT(SIN(RADIANS(E29-Finder!$G$5)/2)^2+COS(RADIANS(Finder!$G$5))*COS(RADIANS(E29))*SIN(RADIANS(F29-Finder!$G$6)/2)^2)),"")</f>
        <v>1485.3461400437989</v>
      </c>
      <c r="R29" s="39">
        <f>IF(ISNUMBER(Q29),IF(Q29&lt;=Finder!$D$7,1,0),0)</f>
        <v>0</v>
      </c>
      <c r="S29" s="39" t="str">
        <f>IF(R29=1,O29+ROW()*0.000000001,"")</f>
        <v/>
      </c>
      <c r="T29" s="39" t="str">
        <f>IF(O29&gt;0,INDEX(Calc!$B$4:$B$11,MATCH(MAX(G29:N29),G29:N29,0)),"-")</f>
        <v>Maize Stover</v>
      </c>
    </row>
    <row r="30" spans="1:20">
      <c r="A30" s="39">
        <v>27</v>
      </c>
      <c r="B30" s="39" t="s">
        <v>66</v>
      </c>
      <c r="C30" s="39" t="s">
        <v>90</v>
      </c>
      <c r="D30" s="39" t="str">
        <f>B30&amp;"|"&amp;C30</f>
        <v>Andhra Pradesh|Vizianagaram</v>
      </c>
      <c r="E30" s="40">
        <v>18.11</v>
      </c>
      <c r="F30" s="40">
        <v>83.4</v>
      </c>
      <c r="G30" s="41">
        <v>41.16</v>
      </c>
      <c r="H30" s="41">
        <v>0</v>
      </c>
      <c r="I30" s="41">
        <v>272.0455</v>
      </c>
      <c r="J30" s="41">
        <v>0</v>
      </c>
      <c r="K30" s="41">
        <v>50.471600000000002</v>
      </c>
      <c r="L30" s="41">
        <v>5.8883999999999999</v>
      </c>
      <c r="M30" s="41">
        <v>0</v>
      </c>
      <c r="N30" s="41">
        <v>0</v>
      </c>
      <c r="O30" s="42">
        <f>SUM(G30:N30)</f>
        <v>369.56550000000004</v>
      </c>
      <c r="P30" s="42">
        <f>SUMPRODUCT(G30:N30,$G$2:$N$2)*1000/Assumptions!$C$15</f>
        <v>111.59875235659823</v>
      </c>
      <c r="Q30" s="43">
        <f>IF(ISNUMBER(Finder!$G$5),Finder!$D$8*Assumptions!$C$16*2*ASIN(SQRT(SIN(RADIANS(E30-Finder!$G$5)/2)^2+COS(RADIANS(Finder!$G$5))*COS(RADIANS(E30))*SIN(RADIANS(F30-Finder!$G$6)/2)^2)),"")</f>
        <v>1454.6326234391991</v>
      </c>
      <c r="R30" s="39">
        <f>IF(ISNUMBER(Q30),IF(Q30&lt;=Finder!$D$7,1,0),0)</f>
        <v>0</v>
      </c>
      <c r="S30" s="39" t="str">
        <f>IF(R30=1,O30+ROW()*0.000000001,"")</f>
        <v/>
      </c>
      <c r="T30" s="39" t="str">
        <f>IF(O30&gt;0,INDEX(Calc!$B$4:$B$11,MATCH(MAX(G30:N30),G30:N30,0)),"-")</f>
        <v>Maize Stover</v>
      </c>
    </row>
    <row r="31" spans="1:20">
      <c r="A31" s="39">
        <v>28</v>
      </c>
      <c r="B31" s="39" t="s">
        <v>66</v>
      </c>
      <c r="C31" s="39" t="s">
        <v>91</v>
      </c>
      <c r="D31" s="39" t="str">
        <f>B31&amp;"|"&amp;C31</f>
        <v>Andhra Pradesh|West Godavari</v>
      </c>
      <c r="E31" s="40">
        <v>16.54</v>
      </c>
      <c r="F31" s="40">
        <v>81.52</v>
      </c>
      <c r="G31" s="41">
        <v>72.239999999999995</v>
      </c>
      <c r="H31" s="41">
        <v>0</v>
      </c>
      <c r="I31" s="41">
        <v>1.0615000000000001</v>
      </c>
      <c r="J31" s="41">
        <v>0</v>
      </c>
      <c r="K31" s="41">
        <v>1.2017</v>
      </c>
      <c r="L31" s="41">
        <v>0.14019999999999999</v>
      </c>
      <c r="M31" s="41">
        <v>0</v>
      </c>
      <c r="N31" s="41">
        <v>0</v>
      </c>
      <c r="O31" s="42">
        <f>SUM(G31:N31)</f>
        <v>74.643399999999986</v>
      </c>
      <c r="P31" s="42">
        <f>SUMPRODUCT(G31:N31,$G$2:$N$2)*1000/Assumptions!$C$15</f>
        <v>27.184545487976539</v>
      </c>
      <c r="Q31" s="43">
        <f>IF(ISNUMBER(Finder!$G$5),Finder!$D$8*Assumptions!$C$16*2*ASIN(SQRT(SIN(RADIANS(E31-Finder!$G$5)/2)^2+COS(RADIANS(Finder!$G$5))*COS(RADIANS(E31))*SIN(RADIANS(F31-Finder!$G$6)/2)^2)),"")</f>
        <v>1522.1962582411477</v>
      </c>
      <c r="R31" s="39">
        <f>IF(ISNUMBER(Q31),IF(Q31&lt;=Finder!$D$7,1,0),0)</f>
        <v>0</v>
      </c>
      <c r="S31" s="39" t="str">
        <f>IF(R31=1,O31+ROW()*0.000000001,"")</f>
        <v/>
      </c>
      <c r="T31" s="39" t="str">
        <f>IF(O31&gt;0,INDEX(Calc!$B$4:$B$11,MATCH(MAX(G31:N31),G31:N31,0)),"-")</f>
        <v>Paddy Straw</v>
      </c>
    </row>
    <row r="32" spans="1:20">
      <c r="A32" s="39">
        <v>29</v>
      </c>
      <c r="B32" s="39" t="s">
        <v>66</v>
      </c>
      <c r="C32" s="39" t="s">
        <v>92</v>
      </c>
      <c r="D32" s="39" t="str">
        <f>B32&amp;"|"&amp;C32</f>
        <v>Andhra Pradesh|Y.S.R. Kadapa</v>
      </c>
      <c r="E32" s="40">
        <v>14.47</v>
      </c>
      <c r="F32" s="40">
        <v>78.819999999999993</v>
      </c>
      <c r="G32" s="41">
        <v>14.7</v>
      </c>
      <c r="H32" s="41">
        <v>0</v>
      </c>
      <c r="I32" s="41">
        <v>6.5519999999999996</v>
      </c>
      <c r="J32" s="41">
        <v>5.9999999999999995E-4</v>
      </c>
      <c r="K32" s="41">
        <v>1.4946999999999999</v>
      </c>
      <c r="L32" s="41">
        <v>0.1744</v>
      </c>
      <c r="M32" s="41">
        <v>15.673</v>
      </c>
      <c r="N32" s="41">
        <v>0</v>
      </c>
      <c r="O32" s="42">
        <f>SUM(G32:N32)</f>
        <v>38.594699999999996</v>
      </c>
      <c r="P32" s="42">
        <f>SUMPRODUCT(G32:N32,$G$2:$N$2)*1000/Assumptions!$C$15</f>
        <v>12.75342985806452</v>
      </c>
      <c r="Q32" s="43">
        <f>IF(ISNUMBER(Finder!$G$5),Finder!$D$8*Assumptions!$C$16*2*ASIN(SQRT(SIN(RADIANS(E32-Finder!$G$5)/2)^2+COS(RADIANS(Finder!$G$5))*COS(RADIANS(E32))*SIN(RADIANS(F32-Finder!$G$6)/2)^2)),"")</f>
        <v>1663.1666885010193</v>
      </c>
      <c r="R32" s="39">
        <f>IF(ISNUMBER(Q32),IF(Q32&lt;=Finder!$D$7,1,0),0)</f>
        <v>0</v>
      </c>
      <c r="S32" s="39" t="str">
        <f>IF(R32=1,O32+ROW()*0.000000001,"")</f>
        <v/>
      </c>
      <c r="T32" s="39" t="str">
        <f>IF(O32&gt;0,INDEX(Calc!$B$4:$B$11,MATCH(MAX(G32:N32),G32:N32,0)),"-")</f>
        <v>Soya Trash</v>
      </c>
    </row>
    <row r="33" spans="1:20">
      <c r="A33" s="39">
        <v>30</v>
      </c>
      <c r="B33" s="39" t="s">
        <v>93</v>
      </c>
      <c r="C33" s="39" t="s">
        <v>94</v>
      </c>
      <c r="D33" s="39" t="str">
        <f>B33&amp;"|"&amp;C33</f>
        <v>Arunachal Pradesh|Anjaw</v>
      </c>
      <c r="E33" s="40">
        <v>27.88</v>
      </c>
      <c r="F33" s="40">
        <v>96.82</v>
      </c>
      <c r="G33" s="41">
        <v>1.68</v>
      </c>
      <c r="H33" s="41">
        <v>0</v>
      </c>
      <c r="I33" s="41">
        <v>1.9735</v>
      </c>
      <c r="J33" s="41">
        <v>0.1145</v>
      </c>
      <c r="K33" s="41">
        <v>0</v>
      </c>
      <c r="L33" s="41">
        <v>0</v>
      </c>
      <c r="M33" s="41">
        <v>1.5699999999999999E-2</v>
      </c>
      <c r="N33" s="41">
        <v>0</v>
      </c>
      <c r="O33" s="42">
        <f>SUM(G33:N33)</f>
        <v>3.7837000000000001</v>
      </c>
      <c r="P33" s="42">
        <f>SUMPRODUCT(G33:N33,$G$2:$N$2)*1000/Assumptions!$C$15</f>
        <v>1.2350206651026392</v>
      </c>
      <c r="Q33" s="43">
        <f>IF(ISNUMBER(Finder!$G$5),Finder!$D$8*Assumptions!$C$16*2*ASIN(SQRT(SIN(RADIANS(E33-Finder!$G$5)/2)^2+COS(RADIANS(Finder!$G$5))*COS(RADIANS(E33))*SIN(RADIANS(F33-Finder!$G$6)/2)^2)),"")</f>
        <v>2063.674524834244</v>
      </c>
      <c r="R33" s="39">
        <f>IF(ISNUMBER(Q33),IF(Q33&lt;=Finder!$D$7,1,0),0)</f>
        <v>0</v>
      </c>
      <c r="S33" s="39" t="str">
        <f>IF(R33=1,O33+ROW()*0.000000001,"")</f>
        <v/>
      </c>
      <c r="T33" s="39" t="str">
        <f>IF(O33&gt;0,INDEX(Calc!$B$4:$B$11,MATCH(MAX(G33:N33),G33:N33,0)),"-")</f>
        <v>Maize Stover</v>
      </c>
    </row>
    <row r="34" spans="1:20">
      <c r="A34" s="39">
        <v>31</v>
      </c>
      <c r="B34" s="39" t="s">
        <v>93</v>
      </c>
      <c r="C34" s="39" t="s">
        <v>95</v>
      </c>
      <c r="D34" s="39" t="str">
        <f>B34&amp;"|"&amp;C34</f>
        <v>Arunachal Pradesh|Changlang</v>
      </c>
      <c r="E34" s="40">
        <v>27.13</v>
      </c>
      <c r="F34" s="40">
        <v>95.73</v>
      </c>
      <c r="G34" s="41">
        <v>4.2</v>
      </c>
      <c r="H34" s="41">
        <v>0</v>
      </c>
      <c r="I34" s="41">
        <v>1.03</v>
      </c>
      <c r="J34" s="41">
        <v>2.3593999999999999</v>
      </c>
      <c r="K34" s="41">
        <v>1.5926</v>
      </c>
      <c r="L34" s="41">
        <v>0.18579999999999999</v>
      </c>
      <c r="M34" s="41">
        <v>0.1908</v>
      </c>
      <c r="N34" s="41">
        <v>0</v>
      </c>
      <c r="O34" s="42">
        <f>SUM(G34:N34)</f>
        <v>9.5586000000000002</v>
      </c>
      <c r="P34" s="42">
        <f>SUMPRODUCT(G34:N34,$G$2:$N$2)*1000/Assumptions!$C$15</f>
        <v>3.116912848680351</v>
      </c>
      <c r="Q34" s="43">
        <f>IF(ISNUMBER(Finder!$G$5),Finder!$D$8*Assumptions!$C$16*2*ASIN(SQRT(SIN(RADIANS(E34-Finder!$G$5)/2)^2+COS(RADIANS(Finder!$G$5))*COS(RADIANS(E34))*SIN(RADIANS(F34-Finder!$G$6)/2)^2)),"")</f>
        <v>1972.4125813937969</v>
      </c>
      <c r="R34" s="39">
        <f>IF(ISNUMBER(Q34),IF(Q34&lt;=Finder!$D$7,1,0),0)</f>
        <v>0</v>
      </c>
      <c r="S34" s="39" t="str">
        <f>IF(R34=1,O34+ROW()*0.000000001,"")</f>
        <v/>
      </c>
      <c r="T34" s="39" t="str">
        <f>IF(O34&gt;0,INDEX(Calc!$B$4:$B$11,MATCH(MAX(G34:N34),G34:N34,0)),"-")</f>
        <v>Paddy Straw</v>
      </c>
    </row>
    <row r="35" spans="1:20">
      <c r="A35" s="39">
        <v>32</v>
      </c>
      <c r="B35" s="39" t="s">
        <v>93</v>
      </c>
      <c r="C35" s="39" t="s">
        <v>96</v>
      </c>
      <c r="D35" s="39" t="str">
        <f>B35&amp;"|"&amp;C35</f>
        <v>Arunachal Pradesh|Dibang Valley</v>
      </c>
      <c r="E35" s="40">
        <v>28.8</v>
      </c>
      <c r="F35" s="40">
        <v>95.9</v>
      </c>
      <c r="G35" s="41">
        <v>0.84</v>
      </c>
      <c r="H35" s="41">
        <v>0</v>
      </c>
      <c r="I35" s="41">
        <v>1.6400999999999999</v>
      </c>
      <c r="J35" s="41">
        <v>3.49E-2</v>
      </c>
      <c r="K35" s="41">
        <v>0</v>
      </c>
      <c r="L35" s="41">
        <v>0</v>
      </c>
      <c r="M35" s="41">
        <v>6.7400000000000002E-2</v>
      </c>
      <c r="N35" s="41">
        <v>0</v>
      </c>
      <c r="O35" s="42">
        <f>SUM(G35:N35)</f>
        <v>2.5823999999999998</v>
      </c>
      <c r="P35" s="42">
        <f>SUMPRODUCT(G35:N35,$G$2:$N$2)*1000/Assumptions!$C$15</f>
        <v>0.82194428621700877</v>
      </c>
      <c r="Q35" s="43">
        <f>IF(ISNUMBER(Finder!$G$5),Finder!$D$8*Assumptions!$C$16*2*ASIN(SQRT(SIN(RADIANS(E35-Finder!$G$5)/2)^2+COS(RADIANS(Finder!$G$5))*COS(RADIANS(E35))*SIN(RADIANS(F35-Finder!$G$6)/2)^2)),"")</f>
        <v>1961.0229027071164</v>
      </c>
      <c r="R35" s="39">
        <f>IF(ISNUMBER(Q35),IF(Q35&lt;=Finder!$D$7,1,0),0)</f>
        <v>0</v>
      </c>
      <c r="S35" s="39" t="str">
        <f>IF(R35=1,O35+ROW()*0.000000001,"")</f>
        <v/>
      </c>
      <c r="T35" s="39" t="str">
        <f>IF(O35&gt;0,INDEX(Calc!$B$4:$B$11,MATCH(MAX(G35:N35),G35:N35,0)),"-")</f>
        <v>Maize Stover</v>
      </c>
    </row>
    <row r="36" spans="1:20">
      <c r="A36" s="39">
        <v>33</v>
      </c>
      <c r="B36" s="39" t="s">
        <v>93</v>
      </c>
      <c r="C36" s="39" t="s">
        <v>97</v>
      </c>
      <c r="D36" s="39" t="str">
        <f>B36&amp;"|"&amp;C36</f>
        <v>Arunachal Pradesh|East Kameng</v>
      </c>
      <c r="E36" s="40">
        <v>27.35</v>
      </c>
      <c r="F36" s="40">
        <v>92.95</v>
      </c>
      <c r="G36" s="41">
        <v>2.94</v>
      </c>
      <c r="H36" s="41">
        <v>0</v>
      </c>
      <c r="I36" s="41">
        <v>1.6968000000000001</v>
      </c>
      <c r="J36" s="41">
        <v>0.47710000000000002</v>
      </c>
      <c r="K36" s="41">
        <v>0</v>
      </c>
      <c r="L36" s="41">
        <v>0</v>
      </c>
      <c r="M36" s="41">
        <v>0.16889999999999999</v>
      </c>
      <c r="N36" s="41">
        <v>0</v>
      </c>
      <c r="O36" s="42">
        <f>SUM(G36:N36)</f>
        <v>5.2827999999999999</v>
      </c>
      <c r="P36" s="42">
        <f>SUMPRODUCT(G36:N36,$G$2:$N$2)*1000/Assumptions!$C$15</f>
        <v>1.7705280938416423</v>
      </c>
      <c r="Q36" s="43">
        <f>IF(ISNUMBER(Finder!$G$5),Finder!$D$8*Assumptions!$C$16*2*ASIN(SQRT(SIN(RADIANS(E36-Finder!$G$5)/2)^2+COS(RADIANS(Finder!$G$5))*COS(RADIANS(E36))*SIN(RADIANS(F36-Finder!$G$6)/2)^2)),"")</f>
        <v>1697.9621594377863</v>
      </c>
      <c r="R36" s="39">
        <f>IF(ISNUMBER(Q36),IF(Q36&lt;=Finder!$D$7,1,0),0)</f>
        <v>0</v>
      </c>
      <c r="S36" s="39" t="str">
        <f>IF(R36=1,O36+ROW()*0.000000001,"")</f>
        <v/>
      </c>
      <c r="T36" s="39" t="str">
        <f>IF(O36&gt;0,INDEX(Calc!$B$4:$B$11,MATCH(MAX(G36:N36),G36:N36,0)),"-")</f>
        <v>Paddy Straw</v>
      </c>
    </row>
    <row r="37" spans="1:20">
      <c r="A37" s="39">
        <v>34</v>
      </c>
      <c r="B37" s="39" t="s">
        <v>93</v>
      </c>
      <c r="C37" s="39" t="s">
        <v>98</v>
      </c>
      <c r="D37" s="39" t="str">
        <f>B37&amp;"|"&amp;C37</f>
        <v>Arunachal Pradesh|East Siang</v>
      </c>
      <c r="E37" s="40">
        <v>28.07</v>
      </c>
      <c r="F37" s="40">
        <v>95.33</v>
      </c>
      <c r="G37" s="41">
        <v>6.3</v>
      </c>
      <c r="H37" s="41">
        <v>0</v>
      </c>
      <c r="I37" s="41">
        <v>2.5876999999999999</v>
      </c>
      <c r="J37" s="41">
        <v>1.5686</v>
      </c>
      <c r="K37" s="41">
        <v>1.2796000000000001</v>
      </c>
      <c r="L37" s="41">
        <v>0.14929999999999999</v>
      </c>
      <c r="M37" s="41">
        <v>0.34560000000000002</v>
      </c>
      <c r="N37" s="41">
        <v>0</v>
      </c>
      <c r="O37" s="42">
        <f>SUM(G37:N37)</f>
        <v>12.230799999999999</v>
      </c>
      <c r="P37" s="42">
        <f>SUMPRODUCT(G37:N37,$G$2:$N$2)*1000/Assumptions!$C$15</f>
        <v>4.0589667551319648</v>
      </c>
      <c r="Q37" s="43">
        <f>IF(ISNUMBER(Finder!$G$5),Finder!$D$8*Assumptions!$C$16*2*ASIN(SQRT(SIN(RADIANS(E37-Finder!$G$5)/2)^2+COS(RADIANS(Finder!$G$5))*COS(RADIANS(E37))*SIN(RADIANS(F37-Finder!$G$6)/2)^2)),"")</f>
        <v>1915.8407796178919</v>
      </c>
      <c r="R37" s="39">
        <f>IF(ISNUMBER(Q37),IF(Q37&lt;=Finder!$D$7,1,0),0)</f>
        <v>0</v>
      </c>
      <c r="S37" s="39" t="str">
        <f>IF(R37=1,O37+ROW()*0.000000001,"")</f>
        <v/>
      </c>
      <c r="T37" s="39" t="str">
        <f>IF(O37&gt;0,INDEX(Calc!$B$4:$B$11,MATCH(MAX(G37:N37),G37:N37,0)),"-")</f>
        <v>Paddy Straw</v>
      </c>
    </row>
    <row r="38" spans="1:20">
      <c r="A38" s="39">
        <v>35</v>
      </c>
      <c r="B38" s="39" t="s">
        <v>93</v>
      </c>
      <c r="C38" s="39" t="s">
        <v>99</v>
      </c>
      <c r="D38" s="39" t="str">
        <f>B38&amp;"|"&amp;C38</f>
        <v>Arunachal Pradesh|Kamle</v>
      </c>
      <c r="E38" s="40">
        <v>27.87</v>
      </c>
      <c r="F38" s="40">
        <v>93.84</v>
      </c>
      <c r="G38" s="41">
        <v>1.68</v>
      </c>
      <c r="H38" s="41">
        <v>0</v>
      </c>
      <c r="I38" s="41">
        <v>0.62370000000000003</v>
      </c>
      <c r="J38" s="41">
        <v>0.25419999999999998</v>
      </c>
      <c r="K38" s="41">
        <v>0.28349999999999997</v>
      </c>
      <c r="L38" s="41">
        <v>3.3099999999999997E-2</v>
      </c>
      <c r="M38" s="41">
        <v>3.0599999999999999E-2</v>
      </c>
      <c r="N38" s="41">
        <v>0</v>
      </c>
      <c r="O38" s="42">
        <f>SUM(G38:N38)</f>
        <v>2.9051000000000005</v>
      </c>
      <c r="P38" s="42">
        <f>SUMPRODUCT(G38:N38,$G$2:$N$2)*1000/Assumptions!$C$15</f>
        <v>0.97631096217008795</v>
      </c>
      <c r="Q38" s="43">
        <f>IF(ISNUMBER(Finder!$G$5),Finder!$D$8*Assumptions!$C$16*2*ASIN(SQRT(SIN(RADIANS(E38-Finder!$G$5)/2)^2+COS(RADIANS(Finder!$G$5))*COS(RADIANS(E38))*SIN(RADIANS(F38-Finder!$G$6)/2)^2)),"")</f>
        <v>1774.4727733599111</v>
      </c>
      <c r="R38" s="39">
        <f>IF(ISNUMBER(Q38),IF(Q38&lt;=Finder!$D$7,1,0),0)</f>
        <v>0</v>
      </c>
      <c r="S38" s="39" t="str">
        <f>IF(R38=1,O38+ROW()*0.000000001,"")</f>
        <v/>
      </c>
      <c r="T38" s="39" t="str">
        <f>IF(O38&gt;0,INDEX(Calc!$B$4:$B$11,MATCH(MAX(G38:N38),G38:N38,0)),"-")</f>
        <v>Paddy Straw</v>
      </c>
    </row>
    <row r="39" spans="1:20">
      <c r="A39" s="39">
        <v>36</v>
      </c>
      <c r="B39" s="39" t="s">
        <v>93</v>
      </c>
      <c r="C39" s="39" t="s">
        <v>100</v>
      </c>
      <c r="D39" s="39" t="str">
        <f>B39&amp;"|"&amp;C39</f>
        <v>Arunachal Pradesh|Kra Daadi</v>
      </c>
      <c r="E39" s="40">
        <v>27.64</v>
      </c>
      <c r="F39" s="40">
        <v>93.55</v>
      </c>
      <c r="G39" s="41">
        <v>0.42</v>
      </c>
      <c r="H39" s="41">
        <v>0</v>
      </c>
      <c r="I39" s="41">
        <v>0.3019</v>
      </c>
      <c r="J39" s="41">
        <v>2.2700000000000001E-2</v>
      </c>
      <c r="K39" s="41">
        <v>0.25109999999999999</v>
      </c>
      <c r="L39" s="41">
        <v>2.93E-2</v>
      </c>
      <c r="M39" s="41">
        <v>1.3100000000000001E-2</v>
      </c>
      <c r="N39" s="41">
        <v>0</v>
      </c>
      <c r="O39" s="42">
        <f>SUM(G39:N39)</f>
        <v>1.0381</v>
      </c>
      <c r="P39" s="42">
        <f>SUMPRODUCT(G39:N39,$G$2:$N$2)*1000/Assumptions!$C$15</f>
        <v>0.33557352580645161</v>
      </c>
      <c r="Q39" s="43">
        <f>IF(ISNUMBER(Finder!$G$5),Finder!$D$8*Assumptions!$C$16*2*ASIN(SQRT(SIN(RADIANS(E39-Finder!$G$5)/2)^2+COS(RADIANS(Finder!$G$5))*COS(RADIANS(E39))*SIN(RADIANS(F39-Finder!$G$6)/2)^2)),"")</f>
        <v>1750.4517453492404</v>
      </c>
      <c r="R39" s="39">
        <f>IF(ISNUMBER(Q39),IF(Q39&lt;=Finder!$D$7,1,0),0)</f>
        <v>0</v>
      </c>
      <c r="S39" s="39" t="str">
        <f>IF(R39=1,O39+ROW()*0.000000001,"")</f>
        <v/>
      </c>
      <c r="T39" s="39" t="str">
        <f>IF(O39&gt;0,INDEX(Calc!$B$4:$B$11,MATCH(MAX(G39:N39),G39:N39,0)),"-")</f>
        <v>Paddy Straw</v>
      </c>
    </row>
    <row r="40" spans="1:20">
      <c r="A40" s="39">
        <v>37</v>
      </c>
      <c r="B40" s="39" t="s">
        <v>93</v>
      </c>
      <c r="C40" s="39" t="s">
        <v>101</v>
      </c>
      <c r="D40" s="39" t="str">
        <f>B40&amp;"|"&amp;C40</f>
        <v>Arunachal Pradesh|Kurung Kumey</v>
      </c>
      <c r="E40" s="40">
        <v>27.9</v>
      </c>
      <c r="F40" s="40">
        <v>93.35</v>
      </c>
      <c r="G40" s="41">
        <v>0.42</v>
      </c>
      <c r="H40" s="41">
        <v>0</v>
      </c>
      <c r="I40" s="41">
        <v>0.2515</v>
      </c>
      <c r="J40" s="41">
        <v>2.0199999999999999E-2</v>
      </c>
      <c r="K40" s="41">
        <v>0.1696</v>
      </c>
      <c r="L40" s="41">
        <v>1.9800000000000002E-2</v>
      </c>
      <c r="M40" s="41">
        <v>9.5999999999999992E-3</v>
      </c>
      <c r="N40" s="41">
        <v>0</v>
      </c>
      <c r="O40" s="42">
        <f>SUM(G40:N40)</f>
        <v>0.89070000000000005</v>
      </c>
      <c r="P40" s="42">
        <f>SUMPRODUCT(G40:N40,$G$2:$N$2)*1000/Assumptions!$C$15</f>
        <v>0.29229477243401752</v>
      </c>
      <c r="Q40" s="43">
        <f>IF(ISNUMBER(Finder!$G$5),Finder!$D$8*Assumptions!$C$16*2*ASIN(SQRT(SIN(RADIANS(E40-Finder!$G$5)/2)^2+COS(RADIANS(Finder!$G$5))*COS(RADIANS(E40))*SIN(RADIANS(F40-Finder!$G$6)/2)^2)),"")</f>
        <v>1726.3746589150282</v>
      </c>
      <c r="R40" s="39">
        <f>IF(ISNUMBER(Q40),IF(Q40&lt;=Finder!$D$7,1,0),0)</f>
        <v>0</v>
      </c>
      <c r="S40" s="39" t="str">
        <f>IF(R40=1,O40+ROW()*0.000000001,"")</f>
        <v/>
      </c>
      <c r="T40" s="39" t="str">
        <f>IF(O40&gt;0,INDEX(Calc!$B$4:$B$11,MATCH(MAX(G40:N40),G40:N40,0)),"-")</f>
        <v>Paddy Straw</v>
      </c>
    </row>
    <row r="41" spans="1:20">
      <c r="A41" s="39">
        <v>38</v>
      </c>
      <c r="B41" s="39" t="s">
        <v>93</v>
      </c>
      <c r="C41" s="39" t="s">
        <v>102</v>
      </c>
      <c r="D41" s="39" t="str">
        <f>B41&amp;"|"&amp;C41</f>
        <v>Arunachal Pradesh|Leparada</v>
      </c>
      <c r="E41" s="40">
        <v>27.99</v>
      </c>
      <c r="F41" s="40">
        <v>94.69</v>
      </c>
      <c r="G41" s="41">
        <v>1.68</v>
      </c>
      <c r="H41" s="41">
        <v>0</v>
      </c>
      <c r="I41" s="41">
        <v>0.51659999999999995</v>
      </c>
      <c r="J41" s="41">
        <v>0.25109999999999999</v>
      </c>
      <c r="K41" s="41">
        <v>0.15709999999999999</v>
      </c>
      <c r="L41" s="41">
        <v>1.83E-2</v>
      </c>
      <c r="M41" s="41">
        <v>2.1000000000000001E-2</v>
      </c>
      <c r="N41" s="41">
        <v>0</v>
      </c>
      <c r="O41" s="42">
        <f>SUM(G41:N41)</f>
        <v>2.6440999999999999</v>
      </c>
      <c r="P41" s="42">
        <f>SUMPRODUCT(G41:N41,$G$2:$N$2)*1000/Assumptions!$C$15</f>
        <v>0.89958072287390023</v>
      </c>
      <c r="Q41" s="43">
        <f>IF(ISNUMBER(Finder!$G$5),Finder!$D$8*Assumptions!$C$16*2*ASIN(SQRT(SIN(RADIANS(E41-Finder!$G$5)/2)^2+COS(RADIANS(Finder!$G$5))*COS(RADIANS(E41))*SIN(RADIANS(F41-Finder!$G$6)/2)^2)),"")</f>
        <v>1854.996345480813</v>
      </c>
      <c r="R41" s="39">
        <f>IF(ISNUMBER(Q41),IF(Q41&lt;=Finder!$D$7,1,0),0)</f>
        <v>0</v>
      </c>
      <c r="S41" s="39" t="str">
        <f>IF(R41=1,O41+ROW()*0.000000001,"")</f>
        <v/>
      </c>
      <c r="T41" s="39" t="str">
        <f>IF(O41&gt;0,INDEX(Calc!$B$4:$B$11,MATCH(MAX(G41:N41),G41:N41,0)),"-")</f>
        <v>Paddy Straw</v>
      </c>
    </row>
    <row r="42" spans="1:20">
      <c r="A42" s="39">
        <v>39</v>
      </c>
      <c r="B42" s="39" t="s">
        <v>93</v>
      </c>
      <c r="C42" s="39" t="s">
        <v>103</v>
      </c>
      <c r="D42" s="39" t="str">
        <f>B42&amp;"|"&amp;C42</f>
        <v>Arunachal Pradesh|Lohit</v>
      </c>
      <c r="E42" s="40">
        <v>27.92</v>
      </c>
      <c r="F42" s="40">
        <v>96.17</v>
      </c>
      <c r="G42" s="41">
        <v>2.1</v>
      </c>
      <c r="H42" s="41">
        <v>0</v>
      </c>
      <c r="I42" s="41">
        <v>3.0097999999999998</v>
      </c>
      <c r="J42" s="41">
        <v>2.5449000000000002</v>
      </c>
      <c r="K42" s="41">
        <v>0.1474</v>
      </c>
      <c r="L42" s="41">
        <v>1.72E-2</v>
      </c>
      <c r="M42" s="41">
        <v>0.1706</v>
      </c>
      <c r="N42" s="41">
        <v>0</v>
      </c>
      <c r="O42" s="42">
        <f>SUM(G42:N42)</f>
        <v>7.9899000000000004</v>
      </c>
      <c r="P42" s="42">
        <f>SUMPRODUCT(G42:N42,$G$2:$N$2)*1000/Assumptions!$C$15</f>
        <v>2.5058602956011726</v>
      </c>
      <c r="Q42" s="43">
        <f>IF(ISNUMBER(Finder!$G$5),Finder!$D$8*Assumptions!$C$16*2*ASIN(SQRT(SIN(RADIANS(E42-Finder!$G$5)/2)^2+COS(RADIANS(Finder!$G$5))*COS(RADIANS(E42))*SIN(RADIANS(F42-Finder!$G$6)/2)^2)),"")</f>
        <v>1999.8777012564328</v>
      </c>
      <c r="R42" s="39">
        <f>IF(ISNUMBER(Q42),IF(Q42&lt;=Finder!$D$7,1,0),0)</f>
        <v>0</v>
      </c>
      <c r="S42" s="39" t="str">
        <f>IF(R42=1,O42+ROW()*0.000000001,"")</f>
        <v/>
      </c>
      <c r="T42" s="39" t="str">
        <f>IF(O42&gt;0,INDEX(Calc!$B$4:$B$11,MATCH(MAX(G42:N42),G42:N42,0)),"-")</f>
        <v>Maize Stover</v>
      </c>
    </row>
    <row r="43" spans="1:20">
      <c r="A43" s="39">
        <v>40</v>
      </c>
      <c r="B43" s="39" t="s">
        <v>93</v>
      </c>
      <c r="C43" s="39" t="s">
        <v>104</v>
      </c>
      <c r="D43" s="39" t="str">
        <f>B43&amp;"|"&amp;C43</f>
        <v>Arunachal Pradesh|Longding</v>
      </c>
      <c r="E43" s="40">
        <v>26.86</v>
      </c>
      <c r="F43" s="40">
        <v>95.36</v>
      </c>
      <c r="G43" s="41">
        <v>1.26</v>
      </c>
      <c r="H43" s="41">
        <v>0</v>
      </c>
      <c r="I43" s="41">
        <v>2.3226</v>
      </c>
      <c r="J43" s="41">
        <v>0.14449999999999999</v>
      </c>
      <c r="K43" s="41">
        <v>0</v>
      </c>
      <c r="L43" s="41">
        <v>0</v>
      </c>
      <c r="M43" s="41">
        <v>7.0000000000000007E-2</v>
      </c>
      <c r="N43" s="41">
        <v>0</v>
      </c>
      <c r="O43" s="42">
        <f>SUM(G43:N43)</f>
        <v>3.7970999999999999</v>
      </c>
      <c r="P43" s="42">
        <f>SUMPRODUCT(G43:N43,$G$2:$N$2)*1000/Assumptions!$C$15</f>
        <v>1.2097395413489738</v>
      </c>
      <c r="Q43" s="43">
        <f>IF(ISNUMBER(Finder!$G$5),Finder!$D$8*Assumptions!$C$16*2*ASIN(SQRT(SIN(RADIANS(E43-Finder!$G$5)/2)^2+COS(RADIANS(Finder!$G$5))*COS(RADIANS(E43))*SIN(RADIANS(F43-Finder!$G$6)/2)^2)),"")</f>
        <v>1942.5754034887145</v>
      </c>
      <c r="R43" s="39">
        <f>IF(ISNUMBER(Q43),IF(Q43&lt;=Finder!$D$7,1,0),0)</f>
        <v>0</v>
      </c>
      <c r="S43" s="39" t="str">
        <f>IF(R43=1,O43+ROW()*0.000000001,"")</f>
        <v/>
      </c>
      <c r="T43" s="39" t="str">
        <f>IF(O43&gt;0,INDEX(Calc!$B$4:$B$11,MATCH(MAX(G43:N43),G43:N43,0)),"-")</f>
        <v>Maize Stover</v>
      </c>
    </row>
    <row r="44" spans="1:20">
      <c r="A44" s="39">
        <v>41</v>
      </c>
      <c r="B44" s="39" t="s">
        <v>93</v>
      </c>
      <c r="C44" s="39" t="s">
        <v>105</v>
      </c>
      <c r="D44" s="39" t="str">
        <f>B44&amp;"|"&amp;C44</f>
        <v>Arunachal Pradesh|Lower Dibang Valley</v>
      </c>
      <c r="E44" s="40">
        <v>28.15</v>
      </c>
      <c r="F44" s="40">
        <v>95.84</v>
      </c>
      <c r="G44" s="41">
        <v>5.88</v>
      </c>
      <c r="H44" s="41">
        <v>0</v>
      </c>
      <c r="I44" s="41">
        <v>6.4690000000000003</v>
      </c>
      <c r="J44" s="41">
        <v>2.706</v>
      </c>
      <c r="K44" s="41">
        <v>0.4763</v>
      </c>
      <c r="L44" s="41">
        <v>5.5599999999999997E-2</v>
      </c>
      <c r="M44" s="41">
        <v>0.88380000000000003</v>
      </c>
      <c r="N44" s="41">
        <v>0</v>
      </c>
      <c r="O44" s="42">
        <f>SUM(G44:N44)</f>
        <v>16.470700000000001</v>
      </c>
      <c r="P44" s="42">
        <f>SUMPRODUCT(G44:N44,$G$2:$N$2)*1000/Assumptions!$C$15</f>
        <v>5.2890817747800583</v>
      </c>
      <c r="Q44" s="43">
        <f>IF(ISNUMBER(Finder!$G$5),Finder!$D$8*Assumptions!$C$16*2*ASIN(SQRT(SIN(RADIANS(E44-Finder!$G$5)/2)^2+COS(RADIANS(Finder!$G$5))*COS(RADIANS(E44))*SIN(RADIANS(F44-Finder!$G$6)/2)^2)),"")</f>
        <v>1964.0873919483258</v>
      </c>
      <c r="R44" s="39">
        <f>IF(ISNUMBER(Q44),IF(Q44&lt;=Finder!$D$7,1,0),0)</f>
        <v>0</v>
      </c>
      <c r="S44" s="39" t="str">
        <f>IF(R44=1,O44+ROW()*0.000000001,"")</f>
        <v/>
      </c>
      <c r="T44" s="39" t="str">
        <f>IF(O44&gt;0,INDEX(Calc!$B$4:$B$11,MATCH(MAX(G44:N44),G44:N44,0)),"-")</f>
        <v>Maize Stover</v>
      </c>
    </row>
    <row r="45" spans="1:20">
      <c r="A45" s="39">
        <v>42</v>
      </c>
      <c r="B45" s="39" t="s">
        <v>93</v>
      </c>
      <c r="C45" s="39" t="s">
        <v>106</v>
      </c>
      <c r="D45" s="39" t="str">
        <f>B45&amp;"|"&amp;C45</f>
        <v>Arunachal Pradesh|Lower Siang</v>
      </c>
      <c r="E45" s="40">
        <v>27.66</v>
      </c>
      <c r="F45" s="40">
        <v>94.7</v>
      </c>
      <c r="G45" s="41">
        <v>2.1</v>
      </c>
      <c r="H45" s="41">
        <v>0</v>
      </c>
      <c r="I45" s="41">
        <v>2.1991999999999998</v>
      </c>
      <c r="J45" s="41">
        <v>0.7601</v>
      </c>
      <c r="K45" s="41">
        <v>0.86080000000000001</v>
      </c>
      <c r="L45" s="41">
        <v>0.1004</v>
      </c>
      <c r="M45" s="41">
        <v>6.83E-2</v>
      </c>
      <c r="N45" s="41">
        <v>0</v>
      </c>
      <c r="O45" s="42">
        <f>SUM(G45:N45)</f>
        <v>6.0888</v>
      </c>
      <c r="P45" s="42">
        <f>SUMPRODUCT(G45:N45,$G$2:$N$2)*1000/Assumptions!$C$15</f>
        <v>1.9429791448680351</v>
      </c>
      <c r="Q45" s="43">
        <f>IF(ISNUMBER(Finder!$G$5),Finder!$D$8*Assumptions!$C$16*2*ASIN(SQRT(SIN(RADIANS(E45-Finder!$G$5)/2)^2+COS(RADIANS(Finder!$G$5))*COS(RADIANS(E45))*SIN(RADIANS(F45-Finder!$G$6)/2)^2)),"")</f>
        <v>1861.7445305936476</v>
      </c>
      <c r="R45" s="39">
        <f>IF(ISNUMBER(Q45),IF(Q45&lt;=Finder!$D$7,1,0),0)</f>
        <v>0</v>
      </c>
      <c r="S45" s="39" t="str">
        <f>IF(R45=1,O45+ROW()*0.000000001,"")</f>
        <v/>
      </c>
      <c r="T45" s="39" t="str">
        <f>IF(O45&gt;0,INDEX(Calc!$B$4:$B$11,MATCH(MAX(G45:N45),G45:N45,0)),"-")</f>
        <v>Maize Stover</v>
      </c>
    </row>
    <row r="46" spans="1:20">
      <c r="A46" s="39">
        <v>43</v>
      </c>
      <c r="B46" s="39" t="s">
        <v>93</v>
      </c>
      <c r="C46" s="39" t="s">
        <v>107</v>
      </c>
      <c r="D46" s="39" t="str">
        <f>B46&amp;"|"&amp;C46</f>
        <v>Arunachal Pradesh|Lower Subansiri</v>
      </c>
      <c r="E46" s="40">
        <v>27.55</v>
      </c>
      <c r="F46" s="40">
        <v>93.83</v>
      </c>
      <c r="G46" s="41">
        <v>2.52</v>
      </c>
      <c r="H46" s="41">
        <v>0</v>
      </c>
      <c r="I46" s="41">
        <v>0.75490000000000002</v>
      </c>
      <c r="J46" s="41">
        <v>0.49609999999999999</v>
      </c>
      <c r="K46" s="41">
        <v>0.4405</v>
      </c>
      <c r="L46" s="41">
        <v>5.1400000000000001E-2</v>
      </c>
      <c r="M46" s="41">
        <v>1.49E-2</v>
      </c>
      <c r="N46" s="41">
        <v>0</v>
      </c>
      <c r="O46" s="42">
        <f>SUM(G46:N46)</f>
        <v>4.2778</v>
      </c>
      <c r="P46" s="42">
        <f>SUMPRODUCT(G46:N46,$G$2:$N$2)*1000/Assumptions!$C$15</f>
        <v>1.4402812486803518</v>
      </c>
      <c r="Q46" s="43">
        <f>IF(ISNUMBER(Finder!$G$5),Finder!$D$8*Assumptions!$C$16*2*ASIN(SQRT(SIN(RADIANS(E46-Finder!$G$5)/2)^2+COS(RADIANS(Finder!$G$5))*COS(RADIANS(E46))*SIN(RADIANS(F46-Finder!$G$6)/2)^2)),"")</f>
        <v>1779.35137950479</v>
      </c>
      <c r="R46" s="39">
        <f>IF(ISNUMBER(Q46),IF(Q46&lt;=Finder!$D$7,1,0),0)</f>
        <v>0</v>
      </c>
      <c r="S46" s="39" t="str">
        <f>IF(R46=1,O46+ROW()*0.000000001,"")</f>
        <v/>
      </c>
      <c r="T46" s="39" t="str">
        <f>IF(O46&gt;0,INDEX(Calc!$B$4:$B$11,MATCH(MAX(G46:N46),G46:N46,0)),"-")</f>
        <v>Paddy Straw</v>
      </c>
    </row>
    <row r="47" spans="1:20">
      <c r="A47" s="39">
        <v>44</v>
      </c>
      <c r="B47" s="39" t="s">
        <v>93</v>
      </c>
      <c r="C47" s="39" t="s">
        <v>108</v>
      </c>
      <c r="D47" s="39" t="str">
        <f>B47&amp;"|"&amp;C47</f>
        <v>Arunachal Pradesh|Namsai</v>
      </c>
      <c r="E47" s="40">
        <v>27.67</v>
      </c>
      <c r="F47" s="40">
        <v>95.87</v>
      </c>
      <c r="G47" s="41">
        <v>3.78</v>
      </c>
      <c r="H47" s="41">
        <v>0</v>
      </c>
      <c r="I47" s="41">
        <v>4.5133999999999999</v>
      </c>
      <c r="J47" s="41">
        <v>3.0049000000000001</v>
      </c>
      <c r="K47" s="41">
        <v>0.19420000000000001</v>
      </c>
      <c r="L47" s="41">
        <v>2.2700000000000001E-2</v>
      </c>
      <c r="M47" s="41">
        <v>1.0281</v>
      </c>
      <c r="N47" s="41">
        <v>0</v>
      </c>
      <c r="O47" s="42">
        <f>SUM(G47:N47)</f>
        <v>12.543300000000002</v>
      </c>
      <c r="P47" s="42">
        <f>SUMPRODUCT(G47:N47,$G$2:$N$2)*1000/Assumptions!$C$15</f>
        <v>3.9854021938416424</v>
      </c>
      <c r="Q47" s="43">
        <f>IF(ISNUMBER(Finder!$G$5),Finder!$D$8*Assumptions!$C$16*2*ASIN(SQRT(SIN(RADIANS(E47-Finder!$G$5)/2)^2+COS(RADIANS(Finder!$G$5))*COS(RADIANS(E47))*SIN(RADIANS(F47-Finder!$G$6)/2)^2)),"")</f>
        <v>1975.1791737089354</v>
      </c>
      <c r="R47" s="39">
        <f>IF(ISNUMBER(Q47),IF(Q47&lt;=Finder!$D$7,1,0),0)</f>
        <v>0</v>
      </c>
      <c r="S47" s="39" t="str">
        <f>IF(R47=1,O47+ROW()*0.000000001,"")</f>
        <v/>
      </c>
      <c r="T47" s="39" t="str">
        <f>IF(O47&gt;0,INDEX(Calc!$B$4:$B$11,MATCH(MAX(G47:N47),G47:N47,0)),"-")</f>
        <v>Maize Stover</v>
      </c>
    </row>
    <row r="48" spans="1:20">
      <c r="A48" s="39">
        <v>45</v>
      </c>
      <c r="B48" s="39" t="s">
        <v>93</v>
      </c>
      <c r="C48" s="39" t="s">
        <v>109</v>
      </c>
      <c r="D48" s="39" t="str">
        <f>B48&amp;"|"&amp;C48</f>
        <v>Arunachal Pradesh|Pakke Kessang</v>
      </c>
      <c r="E48" s="40">
        <v>27.08</v>
      </c>
      <c r="F48" s="40">
        <v>92.96</v>
      </c>
      <c r="G48" s="41">
        <v>1.26</v>
      </c>
      <c r="H48" s="41">
        <v>0</v>
      </c>
      <c r="I48" s="41">
        <v>0.71919999999999995</v>
      </c>
      <c r="J48" s="41">
        <v>0.2064</v>
      </c>
      <c r="K48" s="41">
        <v>0</v>
      </c>
      <c r="L48" s="41">
        <v>0</v>
      </c>
      <c r="M48" s="41">
        <v>7.6999999999999999E-2</v>
      </c>
      <c r="N48" s="41">
        <v>0</v>
      </c>
      <c r="O48" s="42">
        <f>SUM(G48:N48)</f>
        <v>2.2625999999999999</v>
      </c>
      <c r="P48" s="42">
        <f>SUMPRODUCT(G48:N48,$G$2:$N$2)*1000/Assumptions!$C$15</f>
        <v>0.75846879061583561</v>
      </c>
      <c r="Q48" s="43">
        <f>IF(ISNUMBER(Finder!$G$5),Finder!$D$8*Assumptions!$C$16*2*ASIN(SQRT(SIN(RADIANS(E48-Finder!$G$5)/2)^2+COS(RADIANS(Finder!$G$5))*COS(RADIANS(E48))*SIN(RADIANS(F48-Finder!$G$6)/2)^2)),"")</f>
        <v>1704.8137244157458</v>
      </c>
      <c r="R48" s="39">
        <f>IF(ISNUMBER(Q48),IF(Q48&lt;=Finder!$D$7,1,0),0)</f>
        <v>0</v>
      </c>
      <c r="S48" s="39" t="str">
        <f>IF(R48=1,O48+ROW()*0.000000001,"")</f>
        <v/>
      </c>
      <c r="T48" s="39" t="str">
        <f>IF(O48&gt;0,INDEX(Calc!$B$4:$B$11,MATCH(MAX(G48:N48),G48:N48,0)),"-")</f>
        <v>Paddy Straw</v>
      </c>
    </row>
    <row r="49" spans="1:20">
      <c r="A49" s="39">
        <v>46</v>
      </c>
      <c r="B49" s="39" t="s">
        <v>93</v>
      </c>
      <c r="C49" s="39" t="s">
        <v>110</v>
      </c>
      <c r="D49" s="39" t="str">
        <f>B49&amp;"|"&amp;C49</f>
        <v>Arunachal Pradesh|Papum Pare</v>
      </c>
      <c r="E49" s="40">
        <v>27.15</v>
      </c>
      <c r="F49" s="40">
        <v>93.72</v>
      </c>
      <c r="G49" s="41">
        <v>5.04</v>
      </c>
      <c r="H49" s="41">
        <v>0</v>
      </c>
      <c r="I49" s="41">
        <v>2.5699000000000001</v>
      </c>
      <c r="J49" s="41">
        <v>1.1938</v>
      </c>
      <c r="K49" s="41">
        <v>0.91839999999999999</v>
      </c>
      <c r="L49" s="41">
        <v>0.1071</v>
      </c>
      <c r="M49" s="41">
        <v>0.40689999999999998</v>
      </c>
      <c r="N49" s="41">
        <v>0</v>
      </c>
      <c r="O49" s="42">
        <f>SUM(G49:N49)</f>
        <v>10.2361</v>
      </c>
      <c r="P49" s="42">
        <f>SUMPRODUCT(G49:N49,$G$2:$N$2)*1000/Assumptions!$C$15</f>
        <v>3.3830204096774192</v>
      </c>
      <c r="Q49" s="43">
        <f>IF(ISNUMBER(Finder!$G$5),Finder!$D$8*Assumptions!$C$16*2*ASIN(SQRT(SIN(RADIANS(E49-Finder!$G$5)/2)^2+COS(RADIANS(Finder!$G$5))*COS(RADIANS(E49))*SIN(RADIANS(F49-Finder!$G$6)/2)^2)),"")</f>
        <v>1776.9381994998971</v>
      </c>
      <c r="R49" s="39">
        <f>IF(ISNUMBER(Q49),IF(Q49&lt;=Finder!$D$7,1,0),0)</f>
        <v>0</v>
      </c>
      <c r="S49" s="39" t="str">
        <f>IF(R49=1,O49+ROW()*0.000000001,"")</f>
        <v/>
      </c>
      <c r="T49" s="39" t="str">
        <f>IF(O49&gt;0,INDEX(Calc!$B$4:$B$11,MATCH(MAX(G49:N49),G49:N49,0)),"-")</f>
        <v>Paddy Straw</v>
      </c>
    </row>
    <row r="50" spans="1:20">
      <c r="A50" s="39">
        <v>47</v>
      </c>
      <c r="B50" s="39" t="s">
        <v>93</v>
      </c>
      <c r="C50" s="39" t="s">
        <v>111</v>
      </c>
      <c r="D50" s="39" t="str">
        <f>B50&amp;"|"&amp;C50</f>
        <v>Arunachal Pradesh|Shi Yomi</v>
      </c>
      <c r="E50" s="40">
        <v>28.53</v>
      </c>
      <c r="F50" s="40">
        <v>94.39</v>
      </c>
      <c r="G50" s="41">
        <v>1.26</v>
      </c>
      <c r="H50" s="41">
        <v>0</v>
      </c>
      <c r="I50" s="41">
        <v>0.2903</v>
      </c>
      <c r="J50" s="41">
        <v>0.1023</v>
      </c>
      <c r="K50" s="41">
        <v>5.62E-2</v>
      </c>
      <c r="L50" s="41">
        <v>6.6E-3</v>
      </c>
      <c r="M50" s="41">
        <v>7.9000000000000008E-3</v>
      </c>
      <c r="N50" s="41">
        <v>0</v>
      </c>
      <c r="O50" s="42">
        <f>SUM(G50:N50)</f>
        <v>1.7233000000000001</v>
      </c>
      <c r="P50" s="42">
        <f>SUMPRODUCT(G50:N50,$G$2:$N$2)*1000/Assumptions!$C$15</f>
        <v>0.59820504926686224</v>
      </c>
      <c r="Q50" s="43">
        <f>IF(ISNUMBER(Finder!$G$5),Finder!$D$8*Assumptions!$C$16*2*ASIN(SQRT(SIN(RADIANS(E50-Finder!$G$5)/2)^2+COS(RADIANS(Finder!$G$5))*COS(RADIANS(E50))*SIN(RADIANS(F50-Finder!$G$6)/2)^2)),"")</f>
        <v>1817.9260672872811</v>
      </c>
      <c r="R50" s="39">
        <f>IF(ISNUMBER(Q50),IF(Q50&lt;=Finder!$D$7,1,0),0)</f>
        <v>0</v>
      </c>
      <c r="S50" s="39" t="str">
        <f>IF(R50=1,O50+ROW()*0.000000001,"")</f>
        <v/>
      </c>
      <c r="T50" s="39" t="str">
        <f>IF(O50&gt;0,INDEX(Calc!$B$4:$B$11,MATCH(MAX(G50:N50),G50:N50,0)),"-")</f>
        <v>Paddy Straw</v>
      </c>
    </row>
    <row r="51" spans="1:20">
      <c r="A51" s="39">
        <v>48</v>
      </c>
      <c r="B51" s="39" t="s">
        <v>93</v>
      </c>
      <c r="C51" s="39" t="s">
        <v>112</v>
      </c>
      <c r="D51" s="39" t="str">
        <f>B51&amp;"|"&amp;C51</f>
        <v>Arunachal Pradesh|Siang</v>
      </c>
      <c r="E51" s="40">
        <v>28.2</v>
      </c>
      <c r="F51" s="40">
        <v>95</v>
      </c>
      <c r="G51" s="41">
        <v>3.36</v>
      </c>
      <c r="H51" s="41">
        <v>0</v>
      </c>
      <c r="I51" s="41">
        <v>2.1991999999999998</v>
      </c>
      <c r="J51" s="41">
        <v>1.1318999999999999</v>
      </c>
      <c r="K51" s="41">
        <v>0.4405</v>
      </c>
      <c r="L51" s="41">
        <v>5.1400000000000001E-2</v>
      </c>
      <c r="M51" s="41">
        <v>0.10059999999999999</v>
      </c>
      <c r="N51" s="41">
        <v>0</v>
      </c>
      <c r="O51" s="42">
        <f>SUM(G51:N51)</f>
        <v>7.2835999999999999</v>
      </c>
      <c r="P51" s="42">
        <f>SUMPRODUCT(G51:N51,$G$2:$N$2)*1000/Assumptions!$C$15</f>
        <v>2.387177525513196</v>
      </c>
      <c r="Q51" s="43">
        <f>IF(ISNUMBER(Finder!$G$5),Finder!$D$8*Assumptions!$C$16*2*ASIN(SQRT(SIN(RADIANS(E51-Finder!$G$5)/2)^2+COS(RADIANS(Finder!$G$5))*COS(RADIANS(E51))*SIN(RADIANS(F51-Finder!$G$6)/2)^2)),"")</f>
        <v>1881.7742604815596</v>
      </c>
      <c r="R51" s="39">
        <f>IF(ISNUMBER(Q51),IF(Q51&lt;=Finder!$D$7,1,0),0)</f>
        <v>0</v>
      </c>
      <c r="S51" s="39" t="str">
        <f>IF(R51=1,O51+ROW()*0.000000001,"")</f>
        <v/>
      </c>
      <c r="T51" s="39" t="str">
        <f>IF(O51&gt;0,INDEX(Calc!$B$4:$B$11,MATCH(MAX(G51:N51),G51:N51,0)),"-")</f>
        <v>Paddy Straw</v>
      </c>
    </row>
    <row r="52" spans="1:20">
      <c r="A52" s="39">
        <v>49</v>
      </c>
      <c r="B52" s="39" t="s">
        <v>93</v>
      </c>
      <c r="C52" s="39" t="s">
        <v>113</v>
      </c>
      <c r="D52" s="39" t="str">
        <f>B52&amp;"|"&amp;C52</f>
        <v>Arunachal Pradesh|Tawang</v>
      </c>
      <c r="E52" s="40">
        <v>27.59</v>
      </c>
      <c r="F52" s="40">
        <v>91.86</v>
      </c>
      <c r="G52" s="41">
        <v>0.42</v>
      </c>
      <c r="H52" s="41">
        <v>0.45</v>
      </c>
      <c r="I52" s="41">
        <v>1.1928000000000001</v>
      </c>
      <c r="J52" s="41">
        <v>0</v>
      </c>
      <c r="K52" s="41">
        <v>0</v>
      </c>
      <c r="L52" s="41">
        <v>0</v>
      </c>
      <c r="M52" s="41">
        <v>0.44450000000000001</v>
      </c>
      <c r="N52" s="41">
        <v>0</v>
      </c>
      <c r="O52" s="42">
        <f>SUM(G52:N52)</f>
        <v>2.5073000000000003</v>
      </c>
      <c r="P52" s="42">
        <f>SUMPRODUCT(G52:N52,$G$2:$N$2)*1000/Assumptions!$C$15</f>
        <v>0.81017041876832852</v>
      </c>
      <c r="Q52" s="43">
        <f>IF(ISNUMBER(Finder!$G$5),Finder!$D$8*Assumptions!$C$16*2*ASIN(SQRT(SIN(RADIANS(E52-Finder!$G$5)/2)^2+COS(RADIANS(Finder!$G$5))*COS(RADIANS(E52))*SIN(RADIANS(F52-Finder!$G$6)/2)^2)),"")</f>
        <v>1587.3686363647312</v>
      </c>
      <c r="R52" s="39">
        <f>IF(ISNUMBER(Q52),IF(Q52&lt;=Finder!$D$7,1,0),0)</f>
        <v>0</v>
      </c>
      <c r="S52" s="39" t="str">
        <f>IF(R52=1,O52+ROW()*0.000000001,"")</f>
        <v/>
      </c>
      <c r="T52" s="39" t="str">
        <f>IF(O52&gt;0,INDEX(Calc!$B$4:$B$11,MATCH(MAX(G52:N52),G52:N52,0)),"-")</f>
        <v>Maize Stover</v>
      </c>
    </row>
    <row r="53" spans="1:20">
      <c r="A53" s="39">
        <v>50</v>
      </c>
      <c r="B53" s="39" t="s">
        <v>93</v>
      </c>
      <c r="C53" s="39" t="s">
        <v>114</v>
      </c>
      <c r="D53" s="39" t="str">
        <f>B53&amp;"|"&amp;C53</f>
        <v>Arunachal Pradesh|Tirap</v>
      </c>
      <c r="E53" s="40">
        <v>27.01</v>
      </c>
      <c r="F53" s="40">
        <v>95.5</v>
      </c>
      <c r="G53" s="41">
        <v>1.26</v>
      </c>
      <c r="H53" s="41">
        <v>0</v>
      </c>
      <c r="I53" s="41">
        <v>2.552</v>
      </c>
      <c r="J53" s="41">
        <v>0.1409</v>
      </c>
      <c r="K53" s="41">
        <v>0</v>
      </c>
      <c r="L53" s="41">
        <v>0</v>
      </c>
      <c r="M53" s="41">
        <v>0.12859999999999999</v>
      </c>
      <c r="N53" s="41">
        <v>0</v>
      </c>
      <c r="O53" s="42">
        <f>SUM(G53:N53)</f>
        <v>4.0815000000000001</v>
      </c>
      <c r="P53" s="42">
        <f>SUMPRODUCT(G53:N53,$G$2:$N$2)*1000/Assumptions!$C$15</f>
        <v>1.2946710228739005</v>
      </c>
      <c r="Q53" s="43">
        <f>IF(ISNUMBER(Finder!$G$5),Finder!$D$8*Assumptions!$C$16*2*ASIN(SQRT(SIN(RADIANS(E53-Finder!$G$5)/2)^2+COS(RADIANS(Finder!$G$5))*COS(RADIANS(E53))*SIN(RADIANS(F53-Finder!$G$6)/2)^2)),"")</f>
        <v>1952.7314015341581</v>
      </c>
      <c r="R53" s="39">
        <f>IF(ISNUMBER(Q53),IF(Q53&lt;=Finder!$D$7,1,0),0)</f>
        <v>0</v>
      </c>
      <c r="S53" s="39" t="str">
        <f>IF(R53=1,O53+ROW()*0.000000001,"")</f>
        <v/>
      </c>
      <c r="T53" s="39" t="str">
        <f>IF(O53&gt;0,INDEX(Calc!$B$4:$B$11,MATCH(MAX(G53:N53),G53:N53,0)),"-")</f>
        <v>Maize Stover</v>
      </c>
    </row>
    <row r="54" spans="1:20">
      <c r="A54" s="39">
        <v>51</v>
      </c>
      <c r="B54" s="39" t="s">
        <v>93</v>
      </c>
      <c r="C54" s="39" t="s">
        <v>115</v>
      </c>
      <c r="D54" s="39" t="str">
        <f>B54&amp;"|"&amp;C54</f>
        <v>Arunachal Pradesh|Upper Siang</v>
      </c>
      <c r="E54" s="40">
        <v>28.62</v>
      </c>
      <c r="F54" s="40">
        <v>95.03</v>
      </c>
      <c r="G54" s="41">
        <v>2.94</v>
      </c>
      <c r="H54" s="41">
        <v>0</v>
      </c>
      <c r="I54" s="41">
        <v>1.3529</v>
      </c>
      <c r="J54" s="41">
        <v>9.1300000000000006E-2</v>
      </c>
      <c r="K54" s="41">
        <v>0.65429999999999999</v>
      </c>
      <c r="L54" s="41">
        <v>7.6300000000000007E-2</v>
      </c>
      <c r="M54" s="41">
        <v>4.2900000000000001E-2</v>
      </c>
      <c r="N54" s="41">
        <v>0</v>
      </c>
      <c r="O54" s="42">
        <f>SUM(G54:N54)</f>
        <v>5.1577000000000002</v>
      </c>
      <c r="P54" s="42">
        <f>SUMPRODUCT(G54:N54,$G$2:$N$2)*1000/Assumptions!$C$15</f>
        <v>1.7297191991202343</v>
      </c>
      <c r="Q54" s="43">
        <f>IF(ISNUMBER(Finder!$G$5),Finder!$D$8*Assumptions!$C$16*2*ASIN(SQRT(SIN(RADIANS(E54-Finder!$G$5)/2)^2+COS(RADIANS(Finder!$G$5))*COS(RADIANS(E54))*SIN(RADIANS(F54-Finder!$G$6)/2)^2)),"")</f>
        <v>1878.8642232526277</v>
      </c>
      <c r="R54" s="39">
        <f>IF(ISNUMBER(Q54),IF(Q54&lt;=Finder!$D$7,1,0),0)</f>
        <v>0</v>
      </c>
      <c r="S54" s="39" t="str">
        <f>IF(R54=1,O54+ROW()*0.000000001,"")</f>
        <v/>
      </c>
      <c r="T54" s="39" t="str">
        <f>IF(O54&gt;0,INDEX(Calc!$B$4:$B$11,MATCH(MAX(G54:N54),G54:N54,0)),"-")</f>
        <v>Paddy Straw</v>
      </c>
    </row>
    <row r="55" spans="1:20">
      <c r="A55" s="39">
        <v>52</v>
      </c>
      <c r="B55" s="39" t="s">
        <v>93</v>
      </c>
      <c r="C55" s="39" t="s">
        <v>116</v>
      </c>
      <c r="D55" s="39" t="str">
        <f>B55&amp;"|"&amp;C55</f>
        <v>Arunachal Pradesh|Upper Subansiri</v>
      </c>
      <c r="E55" s="40">
        <v>27.99</v>
      </c>
      <c r="F55" s="40">
        <v>94.22</v>
      </c>
      <c r="G55" s="41">
        <v>2.1</v>
      </c>
      <c r="H55" s="41">
        <v>0</v>
      </c>
      <c r="I55" s="41">
        <v>0.97389999999999999</v>
      </c>
      <c r="J55" s="41">
        <v>0.1072</v>
      </c>
      <c r="K55" s="41">
        <v>0.3276</v>
      </c>
      <c r="L55" s="41">
        <v>3.8199999999999998E-2</v>
      </c>
      <c r="M55" s="41">
        <v>8.14E-2</v>
      </c>
      <c r="N55" s="41">
        <v>0</v>
      </c>
      <c r="O55" s="42">
        <f>SUM(G55:N55)</f>
        <v>3.6282999999999999</v>
      </c>
      <c r="P55" s="42">
        <f>SUMPRODUCT(G55:N55,$G$2:$N$2)*1000/Assumptions!$C$15</f>
        <v>1.2204782351906158</v>
      </c>
      <c r="Q55" s="43">
        <f>IF(ISNUMBER(Finder!$G$5),Finder!$D$8*Assumptions!$C$16*2*ASIN(SQRT(SIN(RADIANS(E55-Finder!$G$5)/2)^2+COS(RADIANS(Finder!$G$5))*COS(RADIANS(E55))*SIN(RADIANS(F55-Finder!$G$6)/2)^2)),"")</f>
        <v>1809.3556595110363</v>
      </c>
      <c r="R55" s="39">
        <f>IF(ISNUMBER(Q55),IF(Q55&lt;=Finder!$D$7,1,0),0)</f>
        <v>0</v>
      </c>
      <c r="S55" s="39" t="str">
        <f>IF(R55=1,O55+ROW()*0.000000001,"")</f>
        <v/>
      </c>
      <c r="T55" s="39" t="str">
        <f>IF(O55&gt;0,INDEX(Calc!$B$4:$B$11,MATCH(MAX(G55:N55),G55:N55,0)),"-")</f>
        <v>Paddy Straw</v>
      </c>
    </row>
    <row r="56" spans="1:20">
      <c r="A56" s="39">
        <v>53</v>
      </c>
      <c r="B56" s="39" t="s">
        <v>93</v>
      </c>
      <c r="C56" s="39" t="s">
        <v>117</v>
      </c>
      <c r="D56" s="39" t="str">
        <f>B56&amp;"|"&amp;C56</f>
        <v>Arunachal Pradesh|West Kameng</v>
      </c>
      <c r="E56" s="40">
        <v>27.26</v>
      </c>
      <c r="F56" s="40">
        <v>92.42</v>
      </c>
      <c r="G56" s="41">
        <v>0.42</v>
      </c>
      <c r="H56" s="41">
        <v>0.45</v>
      </c>
      <c r="I56" s="41">
        <v>2.9935</v>
      </c>
      <c r="J56" s="41">
        <v>0.23949999999999999</v>
      </c>
      <c r="K56" s="41">
        <v>0</v>
      </c>
      <c r="L56" s="41">
        <v>0</v>
      </c>
      <c r="M56" s="41">
        <v>0.16539999999999999</v>
      </c>
      <c r="N56" s="41">
        <v>0</v>
      </c>
      <c r="O56" s="42">
        <f>SUM(G56:N56)</f>
        <v>4.2683999999999997</v>
      </c>
      <c r="P56" s="42">
        <f>SUMPRODUCT(G56:N56,$G$2:$N$2)*1000/Assumptions!$C$15</f>
        <v>1.3222234944281526</v>
      </c>
      <c r="Q56" s="43">
        <f>IF(ISNUMBER(Finder!$G$5),Finder!$D$8*Assumptions!$C$16*2*ASIN(SQRT(SIN(RADIANS(E56-Finder!$G$5)/2)^2+COS(RADIANS(Finder!$G$5))*COS(RADIANS(E56))*SIN(RADIANS(F56-Finder!$G$6)/2)^2)),"")</f>
        <v>1648.474785661092</v>
      </c>
      <c r="R56" s="39">
        <f>IF(ISNUMBER(Q56),IF(Q56&lt;=Finder!$D$7,1,0),0)</f>
        <v>0</v>
      </c>
      <c r="S56" s="39" t="str">
        <f>IF(R56=1,O56+ROW()*0.000000001,"")</f>
        <v/>
      </c>
      <c r="T56" s="39" t="str">
        <f>IF(O56&gt;0,INDEX(Calc!$B$4:$B$11,MATCH(MAX(G56:N56),G56:N56,0)),"-")</f>
        <v>Maize Stover</v>
      </c>
    </row>
    <row r="57" spans="1:20">
      <c r="A57" s="39">
        <v>54</v>
      </c>
      <c r="B57" s="39" t="s">
        <v>93</v>
      </c>
      <c r="C57" s="39" t="s">
        <v>118</v>
      </c>
      <c r="D57" s="39" t="str">
        <f>B57&amp;"|"&amp;C57</f>
        <v>Arunachal Pradesh|West Siang</v>
      </c>
      <c r="E57" s="40">
        <v>28.17</v>
      </c>
      <c r="F57" s="40">
        <v>94.8</v>
      </c>
      <c r="G57" s="41">
        <v>2.52</v>
      </c>
      <c r="H57" s="41">
        <v>0</v>
      </c>
      <c r="I57" s="41">
        <v>0.56279999999999997</v>
      </c>
      <c r="J57" s="41">
        <v>0.26640000000000003</v>
      </c>
      <c r="K57" s="41">
        <v>0.1328</v>
      </c>
      <c r="L57" s="41">
        <v>1.55E-2</v>
      </c>
      <c r="M57" s="41">
        <v>2.3599999999999999E-2</v>
      </c>
      <c r="N57" s="41">
        <v>0</v>
      </c>
      <c r="O57" s="42">
        <f>SUM(G57:N57)</f>
        <v>3.5210999999999997</v>
      </c>
      <c r="P57" s="42">
        <f>SUMPRODUCT(G57:N57,$G$2:$N$2)*1000/Assumptions!$C$15</f>
        <v>1.2184689832844573</v>
      </c>
      <c r="Q57" s="43">
        <f>IF(ISNUMBER(Finder!$G$5),Finder!$D$8*Assumptions!$C$16*2*ASIN(SQRT(SIN(RADIANS(E57-Finder!$G$5)/2)^2+COS(RADIANS(Finder!$G$5))*COS(RADIANS(E57))*SIN(RADIANS(F57-Finder!$G$6)/2)^2)),"")</f>
        <v>1862.815212213183</v>
      </c>
      <c r="R57" s="39">
        <f>IF(ISNUMBER(Q57),IF(Q57&lt;=Finder!$D$7,1,0),0)</f>
        <v>0</v>
      </c>
      <c r="S57" s="39" t="str">
        <f>IF(R57=1,O57+ROW()*0.000000001,"")</f>
        <v/>
      </c>
      <c r="T57" s="39" t="str">
        <f>IF(O57&gt;0,INDEX(Calc!$B$4:$B$11,MATCH(MAX(G57:N57),G57:N57,0)),"-")</f>
        <v>Paddy Straw</v>
      </c>
    </row>
    <row r="58" spans="1:20">
      <c r="A58" s="39">
        <v>55</v>
      </c>
      <c r="B58" s="39" t="s">
        <v>119</v>
      </c>
      <c r="C58" s="39" t="s">
        <v>120</v>
      </c>
      <c r="D58" s="39" t="str">
        <f>B58&amp;"|"&amp;C58</f>
        <v>Assam|Baksa</v>
      </c>
      <c r="E58" s="40">
        <v>26.63</v>
      </c>
      <c r="F58" s="40">
        <v>91.33</v>
      </c>
      <c r="G58" s="41">
        <v>36.119999999999997</v>
      </c>
      <c r="H58" s="41">
        <v>0</v>
      </c>
      <c r="I58" s="41">
        <v>1.4846999999999999</v>
      </c>
      <c r="J58" s="41">
        <v>5.0941999999999998</v>
      </c>
      <c r="K58" s="41">
        <v>2.3687999999999998</v>
      </c>
      <c r="L58" s="41">
        <v>0.27639999999999998</v>
      </c>
      <c r="M58" s="41">
        <v>0</v>
      </c>
      <c r="N58" s="41">
        <v>0</v>
      </c>
      <c r="O58" s="42">
        <f>SUM(G58:N58)</f>
        <v>45.344099999999997</v>
      </c>
      <c r="P58" s="42">
        <f>SUMPRODUCT(G58:N58,$G$2:$N$2)*1000/Assumptions!$C$15</f>
        <v>15.948823357184748</v>
      </c>
      <c r="Q58" s="43">
        <f>IF(ISNUMBER(Finder!$G$5),Finder!$D$8*Assumptions!$C$16*2*ASIN(SQRT(SIN(RADIANS(E58-Finder!$G$5)/2)^2+COS(RADIANS(Finder!$G$5))*COS(RADIANS(E58))*SIN(RADIANS(F58-Finder!$G$6)/2)^2)),"")</f>
        <v>1558.2693867321689</v>
      </c>
      <c r="R58" s="39">
        <f>IF(ISNUMBER(Q58),IF(Q58&lt;=Finder!$D$7,1,0),0)</f>
        <v>0</v>
      </c>
      <c r="S58" s="39" t="str">
        <f>IF(R58=1,O58+ROW()*0.000000001,"")</f>
        <v/>
      </c>
      <c r="T58" s="39" t="str">
        <f>IF(O58&gt;0,INDEX(Calc!$B$4:$B$11,MATCH(MAX(G58:N58),G58:N58,0)),"-")</f>
        <v>Paddy Straw</v>
      </c>
    </row>
    <row r="59" spans="1:20">
      <c r="A59" s="39">
        <v>56</v>
      </c>
      <c r="B59" s="39" t="s">
        <v>119</v>
      </c>
      <c r="C59" s="39" t="s">
        <v>121</v>
      </c>
      <c r="D59" s="39" t="str">
        <f>B59&amp;"|"&amp;C59</f>
        <v>Assam|Barpeta</v>
      </c>
      <c r="E59" s="40">
        <v>26.32</v>
      </c>
      <c r="F59" s="40">
        <v>91</v>
      </c>
      <c r="G59" s="41">
        <v>43.26</v>
      </c>
      <c r="H59" s="41">
        <v>0.45</v>
      </c>
      <c r="I59" s="41">
        <v>11.9049</v>
      </c>
      <c r="J59" s="41">
        <v>9.0607000000000006</v>
      </c>
      <c r="K59" s="41">
        <v>2.9439000000000002</v>
      </c>
      <c r="L59" s="41">
        <v>0.34350000000000003</v>
      </c>
      <c r="M59" s="41">
        <v>0</v>
      </c>
      <c r="N59" s="41">
        <v>0</v>
      </c>
      <c r="O59" s="42">
        <f>SUM(G59:N59)</f>
        <v>67.963000000000008</v>
      </c>
      <c r="P59" s="42">
        <f>SUMPRODUCT(G59:N59,$G$2:$N$2)*1000/Assumptions!$C$15</f>
        <v>23.151064175073316</v>
      </c>
      <c r="Q59" s="43">
        <f>IF(ISNUMBER(Finder!$G$5),Finder!$D$8*Assumptions!$C$16*2*ASIN(SQRT(SIN(RADIANS(E59-Finder!$G$5)/2)^2+COS(RADIANS(Finder!$G$5))*COS(RADIANS(E59))*SIN(RADIANS(F59-Finder!$G$6)/2)^2)),"")</f>
        <v>1535.1995613911179</v>
      </c>
      <c r="R59" s="39">
        <f>IF(ISNUMBER(Q59),IF(Q59&lt;=Finder!$D$7,1,0),0)</f>
        <v>0</v>
      </c>
      <c r="S59" s="39" t="str">
        <f>IF(R59=1,O59+ROW()*0.000000001,"")</f>
        <v/>
      </c>
      <c r="T59" s="39" t="str">
        <f>IF(O59&gt;0,INDEX(Calc!$B$4:$B$11,MATCH(MAX(G59:N59),G59:N59,0)),"-")</f>
        <v>Paddy Straw</v>
      </c>
    </row>
    <row r="60" spans="1:20">
      <c r="A60" s="39">
        <v>57</v>
      </c>
      <c r="B60" s="39" t="s">
        <v>119</v>
      </c>
      <c r="C60" s="39" t="s">
        <v>122</v>
      </c>
      <c r="D60" s="39" t="str">
        <f>B60&amp;"|"&amp;C60</f>
        <v>Assam|Biswanath</v>
      </c>
      <c r="E60" s="40">
        <v>26.73</v>
      </c>
      <c r="F60" s="40">
        <v>93.15</v>
      </c>
      <c r="G60" s="41">
        <v>22.68</v>
      </c>
      <c r="H60" s="41">
        <v>0</v>
      </c>
      <c r="I60" s="41">
        <v>2.6381000000000001</v>
      </c>
      <c r="J60" s="41">
        <v>2.5289999999999999</v>
      </c>
      <c r="K60" s="41">
        <v>3.8534000000000002</v>
      </c>
      <c r="L60" s="41">
        <v>0.4496</v>
      </c>
      <c r="M60" s="41">
        <v>0</v>
      </c>
      <c r="N60" s="41">
        <v>0</v>
      </c>
      <c r="O60" s="42">
        <f>SUM(G60:N60)</f>
        <v>32.150100000000002</v>
      </c>
      <c r="P60" s="42">
        <f>SUMPRODUCT(G60:N60,$G$2:$N$2)*1000/Assumptions!$C$15</f>
        <v>11.091775607038123</v>
      </c>
      <c r="Q60" s="43">
        <f>IF(ISNUMBER(Finder!$G$5),Finder!$D$8*Assumptions!$C$16*2*ASIN(SQRT(SIN(RADIANS(E60-Finder!$G$5)/2)^2+COS(RADIANS(Finder!$G$5))*COS(RADIANS(E60))*SIN(RADIANS(F60-Finder!$G$6)/2)^2)),"")</f>
        <v>1731.5588488414637</v>
      </c>
      <c r="R60" s="39">
        <f>IF(ISNUMBER(Q60),IF(Q60&lt;=Finder!$D$7,1,0),0)</f>
        <v>0</v>
      </c>
      <c r="S60" s="39" t="str">
        <f>IF(R60=1,O60+ROW()*0.000000001,"")</f>
        <v/>
      </c>
      <c r="T60" s="39" t="str">
        <f>IF(O60&gt;0,INDEX(Calc!$B$4:$B$11,MATCH(MAX(G60:N60),G60:N60,0)),"-")</f>
        <v>Paddy Straw</v>
      </c>
    </row>
    <row r="61" spans="1:20">
      <c r="A61" s="39">
        <v>58</v>
      </c>
      <c r="B61" s="39" t="s">
        <v>119</v>
      </c>
      <c r="C61" s="39" t="s">
        <v>123</v>
      </c>
      <c r="D61" s="39" t="str">
        <f>B61&amp;"|"&amp;C61</f>
        <v>Assam|Bongaigaon</v>
      </c>
      <c r="E61" s="40">
        <v>26.48</v>
      </c>
      <c r="F61" s="40">
        <v>90.56</v>
      </c>
      <c r="G61" s="41">
        <v>22.68</v>
      </c>
      <c r="H61" s="41">
        <v>0</v>
      </c>
      <c r="I61" s="41">
        <v>3.6939000000000002</v>
      </c>
      <c r="J61" s="41">
        <v>3.1593</v>
      </c>
      <c r="K61" s="41">
        <v>1.7887999999999999</v>
      </c>
      <c r="L61" s="41">
        <v>0.2087</v>
      </c>
      <c r="M61" s="41">
        <v>0</v>
      </c>
      <c r="N61" s="41">
        <v>0</v>
      </c>
      <c r="O61" s="42">
        <f>SUM(G61:N61)</f>
        <v>31.5307</v>
      </c>
      <c r="P61" s="42">
        <f>SUMPRODUCT(G61:N61,$G$2:$N$2)*1000/Assumptions!$C$15</f>
        <v>10.913636435483872</v>
      </c>
      <c r="Q61" s="43">
        <f>IF(ISNUMBER(Finder!$G$5),Finder!$D$8*Assumptions!$C$16*2*ASIN(SQRT(SIN(RADIANS(E61-Finder!$G$5)/2)^2+COS(RADIANS(Finder!$G$5))*COS(RADIANS(E61))*SIN(RADIANS(F61-Finder!$G$6)/2)^2)),"")</f>
        <v>1488.2527531847245</v>
      </c>
      <c r="R61" s="39">
        <f>IF(ISNUMBER(Q61),IF(Q61&lt;=Finder!$D$7,1,0),0)</f>
        <v>0</v>
      </c>
      <c r="S61" s="39" t="str">
        <f>IF(R61=1,O61+ROW()*0.000000001,"")</f>
        <v/>
      </c>
      <c r="T61" s="39" t="str">
        <f>IF(O61&gt;0,INDEX(Calc!$B$4:$B$11,MATCH(MAX(G61:N61),G61:N61,0)),"-")</f>
        <v>Paddy Straw</v>
      </c>
    </row>
    <row r="62" spans="1:20">
      <c r="A62" s="39">
        <v>59</v>
      </c>
      <c r="B62" s="39" t="s">
        <v>119</v>
      </c>
      <c r="C62" s="39" t="s">
        <v>124</v>
      </c>
      <c r="D62" s="39" t="str">
        <f>B62&amp;"|"&amp;C62</f>
        <v>Assam|Cachar</v>
      </c>
      <c r="E62" s="40">
        <v>24.83</v>
      </c>
      <c r="F62" s="40">
        <v>92.78</v>
      </c>
      <c r="G62" s="41">
        <v>31.92</v>
      </c>
      <c r="H62" s="41">
        <v>0</v>
      </c>
      <c r="I62" s="41">
        <v>0.6542</v>
      </c>
      <c r="J62" s="41">
        <v>0.80300000000000005</v>
      </c>
      <c r="K62" s="41">
        <v>0.97060000000000002</v>
      </c>
      <c r="L62" s="41">
        <v>0.1132</v>
      </c>
      <c r="M62" s="41">
        <v>0</v>
      </c>
      <c r="N62" s="41">
        <v>0</v>
      </c>
      <c r="O62" s="42">
        <f>SUM(G62:N62)</f>
        <v>34.460999999999999</v>
      </c>
      <c r="P62" s="42">
        <f>SUMPRODUCT(G62:N62,$G$2:$N$2)*1000/Assumptions!$C$15</f>
        <v>12.44601995659824</v>
      </c>
      <c r="Q62" s="43">
        <f>IF(ISNUMBER(Finder!$G$5),Finder!$D$8*Assumptions!$C$16*2*ASIN(SQRT(SIN(RADIANS(E62-Finder!$G$5)/2)^2+COS(RADIANS(Finder!$G$5))*COS(RADIANS(E62))*SIN(RADIANS(F62-Finder!$G$6)/2)^2)),"")</f>
        <v>1755.3726568416878</v>
      </c>
      <c r="R62" s="39">
        <f>IF(ISNUMBER(Q62),IF(Q62&lt;=Finder!$D$7,1,0),0)</f>
        <v>0</v>
      </c>
      <c r="S62" s="39" t="str">
        <f>IF(R62=1,O62+ROW()*0.000000001,"")</f>
        <v/>
      </c>
      <c r="T62" s="39" t="str">
        <f>IF(O62&gt;0,INDEX(Calc!$B$4:$B$11,MATCH(MAX(G62:N62),G62:N62,0)),"-")</f>
        <v>Paddy Straw</v>
      </c>
    </row>
    <row r="63" spans="1:20">
      <c r="A63" s="39">
        <v>60</v>
      </c>
      <c r="B63" s="39" t="s">
        <v>119</v>
      </c>
      <c r="C63" s="39" t="s">
        <v>125</v>
      </c>
      <c r="D63" s="39" t="str">
        <f>B63&amp;"|"&amp;C63</f>
        <v>Assam|Charaideo</v>
      </c>
      <c r="E63" s="40">
        <v>26.98</v>
      </c>
      <c r="F63" s="40">
        <v>94.88</v>
      </c>
      <c r="G63" s="41">
        <v>14.28</v>
      </c>
      <c r="H63" s="41">
        <v>0</v>
      </c>
      <c r="I63" s="41">
        <v>0.2656</v>
      </c>
      <c r="J63" s="41">
        <v>0.60389999999999999</v>
      </c>
      <c r="K63" s="41">
        <v>0.22459999999999999</v>
      </c>
      <c r="L63" s="41">
        <v>2.6200000000000001E-2</v>
      </c>
      <c r="M63" s="41">
        <v>0</v>
      </c>
      <c r="N63" s="41">
        <v>0</v>
      </c>
      <c r="O63" s="42">
        <f>SUM(G63:N63)</f>
        <v>15.400299999999998</v>
      </c>
      <c r="P63" s="42">
        <f>SUMPRODUCT(G63:N63,$G$2:$N$2)*1000/Assumptions!$C$15</f>
        <v>5.5635242434017593</v>
      </c>
      <c r="Q63" s="43">
        <f>IF(ISNUMBER(Finder!$G$5),Finder!$D$8*Assumptions!$C$16*2*ASIN(SQRT(SIN(RADIANS(E63-Finder!$G$5)/2)^2+COS(RADIANS(Finder!$G$5))*COS(RADIANS(E63))*SIN(RADIANS(F63-Finder!$G$6)/2)^2)),"")</f>
        <v>1893.2543790591856</v>
      </c>
      <c r="R63" s="39">
        <f>IF(ISNUMBER(Q63),IF(Q63&lt;=Finder!$D$7,1,0),0)</f>
        <v>0</v>
      </c>
      <c r="S63" s="39" t="str">
        <f>IF(R63=1,O63+ROW()*0.000000001,"")</f>
        <v/>
      </c>
      <c r="T63" s="39" t="str">
        <f>IF(O63&gt;0,INDEX(Calc!$B$4:$B$11,MATCH(MAX(G63:N63),G63:N63,0)),"-")</f>
        <v>Paddy Straw</v>
      </c>
    </row>
    <row r="64" spans="1:20">
      <c r="A64" s="39">
        <v>61</v>
      </c>
      <c r="B64" s="39" t="s">
        <v>119</v>
      </c>
      <c r="C64" s="39" t="s">
        <v>126</v>
      </c>
      <c r="D64" s="39" t="str">
        <f>B64&amp;"|"&amp;C64</f>
        <v>Assam|Chirang</v>
      </c>
      <c r="E64" s="40">
        <v>26.53</v>
      </c>
      <c r="F64" s="40">
        <v>90.5</v>
      </c>
      <c r="G64" s="41">
        <v>15.12</v>
      </c>
      <c r="H64" s="41">
        <v>0</v>
      </c>
      <c r="I64" s="41">
        <v>16.207799999999999</v>
      </c>
      <c r="J64" s="41">
        <v>7.4419000000000004</v>
      </c>
      <c r="K64" s="41">
        <v>0.31280000000000002</v>
      </c>
      <c r="L64" s="41">
        <v>3.6499999999999998E-2</v>
      </c>
      <c r="M64" s="41">
        <v>0</v>
      </c>
      <c r="N64" s="41">
        <v>0</v>
      </c>
      <c r="O64" s="42">
        <f>SUM(G64:N64)</f>
        <v>39.119</v>
      </c>
      <c r="P64" s="42">
        <f>SUMPRODUCT(G64:N64,$G$2:$N$2)*1000/Assumptions!$C$15</f>
        <v>12.601751677126099</v>
      </c>
      <c r="Q64" s="43">
        <f>IF(ISNUMBER(Finder!$G$5),Finder!$D$8*Assumptions!$C$16*2*ASIN(SQRT(SIN(RADIANS(E64-Finder!$G$5)/2)^2+COS(RADIANS(Finder!$G$5))*COS(RADIANS(E64))*SIN(RADIANS(F64-Finder!$G$6)/2)^2)),"")</f>
        <v>1481.0583360539681</v>
      </c>
      <c r="R64" s="39">
        <f>IF(ISNUMBER(Q64),IF(Q64&lt;=Finder!$D$7,1,0),0)</f>
        <v>0</v>
      </c>
      <c r="S64" s="39" t="str">
        <f>IF(R64=1,O64+ROW()*0.000000001,"")</f>
        <v/>
      </c>
      <c r="T64" s="39" t="str">
        <f>IF(O64&gt;0,INDEX(Calc!$B$4:$B$11,MATCH(MAX(G64:N64),G64:N64,0)),"-")</f>
        <v>Maize Stover</v>
      </c>
    </row>
    <row r="65" spans="1:20">
      <c r="A65" s="39">
        <v>62</v>
      </c>
      <c r="B65" s="39" t="s">
        <v>119</v>
      </c>
      <c r="C65" s="39" t="s">
        <v>127</v>
      </c>
      <c r="D65" s="39" t="str">
        <f>B65&amp;"|"&amp;C65</f>
        <v>Assam|Darrang</v>
      </c>
      <c r="E65" s="40">
        <v>26.44</v>
      </c>
      <c r="F65" s="40">
        <v>92.03</v>
      </c>
      <c r="G65" s="41">
        <v>30.66</v>
      </c>
      <c r="H65" s="41">
        <v>0</v>
      </c>
      <c r="I65" s="41">
        <v>139.08090000000001</v>
      </c>
      <c r="J65" s="41">
        <v>8.1755999999999993</v>
      </c>
      <c r="K65" s="41">
        <v>3.5404</v>
      </c>
      <c r="L65" s="41">
        <v>0.41299999999999998</v>
      </c>
      <c r="M65" s="41">
        <v>0</v>
      </c>
      <c r="N65" s="41">
        <v>0</v>
      </c>
      <c r="O65" s="42">
        <f>SUM(G65:N65)</f>
        <v>181.86990000000003</v>
      </c>
      <c r="P65" s="42">
        <f>SUMPRODUCT(G65:N65,$G$2:$N$2)*1000/Assumptions!$C$15</f>
        <v>55.714782529618766</v>
      </c>
      <c r="Q65" s="43">
        <f>IF(ISNUMBER(Finder!$G$5),Finder!$D$8*Assumptions!$C$16*2*ASIN(SQRT(SIN(RADIANS(E65-Finder!$G$5)/2)^2+COS(RADIANS(Finder!$G$5))*COS(RADIANS(E65))*SIN(RADIANS(F65-Finder!$G$6)/2)^2)),"")</f>
        <v>1630.9599009512333</v>
      </c>
      <c r="R65" s="39">
        <f>IF(ISNUMBER(Q65),IF(Q65&lt;=Finder!$D$7,1,0),0)</f>
        <v>0</v>
      </c>
      <c r="S65" s="39" t="str">
        <f>IF(R65=1,O65+ROW()*0.000000001,"")</f>
        <v/>
      </c>
      <c r="T65" s="39" t="str">
        <f>IF(O65&gt;0,INDEX(Calc!$B$4:$B$11,MATCH(MAX(G65:N65),G65:N65,0)),"-")</f>
        <v>Maize Stover</v>
      </c>
    </row>
    <row r="66" spans="1:20">
      <c r="A66" s="39">
        <v>63</v>
      </c>
      <c r="B66" s="39" t="s">
        <v>119</v>
      </c>
      <c r="C66" s="39" t="s">
        <v>128</v>
      </c>
      <c r="D66" s="39" t="str">
        <f>B66&amp;"|"&amp;C66</f>
        <v>Assam|Dhemaji</v>
      </c>
      <c r="E66" s="40">
        <v>27.48</v>
      </c>
      <c r="F66" s="40">
        <v>94.58</v>
      </c>
      <c r="G66" s="41">
        <v>33.18</v>
      </c>
      <c r="H66" s="41">
        <v>0</v>
      </c>
      <c r="I66" s="41">
        <v>5.3244999999999996</v>
      </c>
      <c r="J66" s="41">
        <v>13.844900000000001</v>
      </c>
      <c r="K66" s="41">
        <v>1.4117</v>
      </c>
      <c r="L66" s="41">
        <v>0.16470000000000001</v>
      </c>
      <c r="M66" s="41">
        <v>0</v>
      </c>
      <c r="N66" s="41">
        <v>0</v>
      </c>
      <c r="O66" s="42">
        <f>SUM(G66:N66)</f>
        <v>53.92580000000001</v>
      </c>
      <c r="P66" s="42">
        <f>SUMPRODUCT(G66:N66,$G$2:$N$2)*1000/Assumptions!$C$15</f>
        <v>18.262522819061584</v>
      </c>
      <c r="Q66" s="43">
        <f>IF(ISNUMBER(Finder!$G$5),Finder!$D$8*Assumptions!$C$16*2*ASIN(SQRT(SIN(RADIANS(E66-Finder!$G$5)/2)^2+COS(RADIANS(Finder!$G$5))*COS(RADIANS(E66))*SIN(RADIANS(F66-Finder!$G$6)/2)^2)),"")</f>
        <v>1853.5329207335617</v>
      </c>
      <c r="R66" s="39">
        <f>IF(ISNUMBER(Q66),IF(Q66&lt;=Finder!$D$7,1,0),0)</f>
        <v>0</v>
      </c>
      <c r="S66" s="39" t="str">
        <f>IF(R66=1,O66+ROW()*0.000000001,"")</f>
        <v/>
      </c>
      <c r="T66" s="39" t="str">
        <f>IF(O66&gt;0,INDEX(Calc!$B$4:$B$11,MATCH(MAX(G66:N66),G66:N66,0)),"-")</f>
        <v>Paddy Straw</v>
      </c>
    </row>
    <row r="67" spans="1:20">
      <c r="A67" s="39">
        <v>64</v>
      </c>
      <c r="B67" s="39" t="s">
        <v>119</v>
      </c>
      <c r="C67" s="39" t="s">
        <v>129</v>
      </c>
      <c r="D67" s="39" t="str">
        <f>B67&amp;"|"&amp;C67</f>
        <v>Assam|Dhubri</v>
      </c>
      <c r="E67" s="40">
        <v>26.02</v>
      </c>
      <c r="F67" s="40">
        <v>89.98</v>
      </c>
      <c r="G67" s="41">
        <v>35.28</v>
      </c>
      <c r="H67" s="41">
        <v>0</v>
      </c>
      <c r="I67" s="41">
        <v>28.0213</v>
      </c>
      <c r="J67" s="41">
        <v>11.690200000000001</v>
      </c>
      <c r="K67" s="41">
        <v>4.0833000000000004</v>
      </c>
      <c r="L67" s="41">
        <v>0.47639999999999999</v>
      </c>
      <c r="M67" s="41">
        <v>0</v>
      </c>
      <c r="N67" s="41">
        <v>0</v>
      </c>
      <c r="O67" s="42">
        <f>SUM(G67:N67)</f>
        <v>79.551199999999994</v>
      </c>
      <c r="P67" s="42">
        <f>SUMPRODUCT(G67:N67,$G$2:$N$2)*1000/Assumptions!$C$15</f>
        <v>25.947760452785928</v>
      </c>
      <c r="Q67" s="43">
        <f>IF(ISNUMBER(Finder!$G$5),Finder!$D$8*Assumptions!$C$16*2*ASIN(SQRT(SIN(RADIANS(E67-Finder!$G$5)/2)^2+COS(RADIANS(Finder!$G$5))*COS(RADIANS(E67))*SIN(RADIANS(F67-Finder!$G$6)/2)^2)),"")</f>
        <v>1446.7783422591424</v>
      </c>
      <c r="R67" s="39">
        <f>IF(ISNUMBER(Q67),IF(Q67&lt;=Finder!$D$7,1,0),0)</f>
        <v>0</v>
      </c>
      <c r="S67" s="39" t="str">
        <f>IF(R67=1,O67+ROW()*0.000000001,"")</f>
        <v/>
      </c>
      <c r="T67" s="39" t="str">
        <f>IF(O67&gt;0,INDEX(Calc!$B$4:$B$11,MATCH(MAX(G67:N67),G67:N67,0)),"-")</f>
        <v>Paddy Straw</v>
      </c>
    </row>
    <row r="68" spans="1:20">
      <c r="A68" s="39">
        <v>65</v>
      </c>
      <c r="B68" s="39" t="s">
        <v>119</v>
      </c>
      <c r="C68" s="39" t="s">
        <v>130</v>
      </c>
      <c r="D68" s="39" t="str">
        <f>B68&amp;"|"&amp;C68</f>
        <v>Assam|Dibrugarh</v>
      </c>
      <c r="E68" s="40">
        <v>27.48</v>
      </c>
      <c r="F68" s="40">
        <v>94.91</v>
      </c>
      <c r="G68" s="41">
        <v>31.5</v>
      </c>
      <c r="H68" s="41">
        <v>0</v>
      </c>
      <c r="I68" s="41">
        <v>0.95230000000000004</v>
      </c>
      <c r="J68" s="41">
        <v>1.8099000000000001</v>
      </c>
      <c r="K68" s="41">
        <v>0.69789999999999996</v>
      </c>
      <c r="L68" s="41">
        <v>8.14E-2</v>
      </c>
      <c r="M68" s="41">
        <v>0</v>
      </c>
      <c r="N68" s="41">
        <v>0</v>
      </c>
      <c r="O68" s="42">
        <f>SUM(G68:N68)</f>
        <v>35.041499999999999</v>
      </c>
      <c r="P68" s="42">
        <f>SUMPRODUCT(G68:N68,$G$2:$N$2)*1000/Assumptions!$C$15</f>
        <v>12.586931263929618</v>
      </c>
      <c r="Q68" s="43">
        <f>IF(ISNUMBER(Finder!$G$5),Finder!$D$8*Assumptions!$C$16*2*ASIN(SQRT(SIN(RADIANS(E68-Finder!$G$5)/2)^2+COS(RADIANS(Finder!$G$5))*COS(RADIANS(E68))*SIN(RADIANS(F68-Finder!$G$6)/2)^2)),"")</f>
        <v>1885.5739294293101</v>
      </c>
      <c r="R68" s="39">
        <f>IF(ISNUMBER(Q68),IF(Q68&lt;=Finder!$D$7,1,0),0)</f>
        <v>0</v>
      </c>
      <c r="S68" s="39" t="str">
        <f>IF(R68=1,O68+ROW()*0.000000001,"")</f>
        <v/>
      </c>
      <c r="T68" s="39" t="str">
        <f>IF(O68&gt;0,INDEX(Calc!$B$4:$B$11,MATCH(MAX(G68:N68),G68:N68,0)),"-")</f>
        <v>Paddy Straw</v>
      </c>
    </row>
    <row r="69" spans="1:20">
      <c r="A69" s="39">
        <v>66</v>
      </c>
      <c r="B69" s="39" t="s">
        <v>119</v>
      </c>
      <c r="C69" s="39" t="s">
        <v>131</v>
      </c>
      <c r="D69" s="39" t="str">
        <f>B69&amp;"|"&amp;C69</f>
        <v>Assam|Dima Hasao</v>
      </c>
      <c r="E69" s="40">
        <v>25.17</v>
      </c>
      <c r="F69" s="40">
        <v>93.02</v>
      </c>
      <c r="G69" s="41">
        <v>3.36</v>
      </c>
      <c r="H69" s="41">
        <v>0</v>
      </c>
      <c r="I69" s="41">
        <v>6.6223000000000001</v>
      </c>
      <c r="J69" s="41">
        <v>1.0541</v>
      </c>
      <c r="K69" s="41">
        <v>27.639399999999998</v>
      </c>
      <c r="L69" s="41">
        <v>3.2246000000000001</v>
      </c>
      <c r="M69" s="41">
        <v>0</v>
      </c>
      <c r="N69" s="41">
        <v>0</v>
      </c>
      <c r="O69" s="42">
        <f>SUM(G69:N69)</f>
        <v>41.900399999999998</v>
      </c>
      <c r="P69" s="42">
        <f>SUMPRODUCT(G69:N69,$G$2:$N$2)*1000/Assumptions!$C$15</f>
        <v>12.514996509677417</v>
      </c>
      <c r="Q69" s="43">
        <f>IF(ISNUMBER(Finder!$G$5),Finder!$D$8*Assumptions!$C$16*2*ASIN(SQRT(SIN(RADIANS(E69-Finder!$G$5)/2)^2+COS(RADIANS(Finder!$G$5))*COS(RADIANS(E69))*SIN(RADIANS(F69-Finder!$G$6)/2)^2)),"")</f>
        <v>1765.930201905177</v>
      </c>
      <c r="R69" s="39">
        <f>IF(ISNUMBER(Q69),IF(Q69&lt;=Finder!$D$7,1,0),0)</f>
        <v>0</v>
      </c>
      <c r="S69" s="39" t="str">
        <f>IF(R69=1,O69+ROW()*0.000000001,"")</f>
        <v/>
      </c>
      <c r="T69" s="39" t="str">
        <f>IF(O69&gt;0,INDEX(Calc!$B$4:$B$11,MATCH(MAX(G69:N69),G69:N69,0)),"-")</f>
        <v>Cane Trash</v>
      </c>
    </row>
    <row r="70" spans="1:20">
      <c r="A70" s="39">
        <v>67</v>
      </c>
      <c r="B70" s="39" t="s">
        <v>119</v>
      </c>
      <c r="C70" s="39" t="s">
        <v>132</v>
      </c>
      <c r="D70" s="39" t="str">
        <f>B70&amp;"|"&amp;C70</f>
        <v>Assam|Goalpara</v>
      </c>
      <c r="E70" s="40">
        <v>26.17</v>
      </c>
      <c r="F70" s="40">
        <v>90.62</v>
      </c>
      <c r="G70" s="41">
        <v>30.24</v>
      </c>
      <c r="H70" s="41">
        <v>0.45</v>
      </c>
      <c r="I70" s="41">
        <v>8.7380999999999993</v>
      </c>
      <c r="J70" s="41">
        <v>3.4146999999999998</v>
      </c>
      <c r="K70" s="41">
        <v>1.8932</v>
      </c>
      <c r="L70" s="41">
        <v>0.22090000000000001</v>
      </c>
      <c r="M70" s="41">
        <v>0</v>
      </c>
      <c r="N70" s="41">
        <v>0</v>
      </c>
      <c r="O70" s="42">
        <f>SUM(G70:N70)</f>
        <v>44.956899999999997</v>
      </c>
      <c r="P70" s="42">
        <f>SUMPRODUCT(G70:N70,$G$2:$N$2)*1000/Assumptions!$C$15</f>
        <v>15.442874153372431</v>
      </c>
      <c r="Q70" s="43">
        <f>IF(ISNUMBER(Finder!$G$5),Finder!$D$8*Assumptions!$C$16*2*ASIN(SQRT(SIN(RADIANS(E70-Finder!$G$5)/2)^2+COS(RADIANS(Finder!$G$5))*COS(RADIANS(E70))*SIN(RADIANS(F70-Finder!$G$6)/2)^2)),"")</f>
        <v>1503.2392150850039</v>
      </c>
      <c r="R70" s="39">
        <f>IF(ISNUMBER(Q70),IF(Q70&lt;=Finder!$D$7,1,0),0)</f>
        <v>0</v>
      </c>
      <c r="S70" s="39" t="str">
        <f>IF(R70=1,O70+ROW()*0.000000001,"")</f>
        <v/>
      </c>
      <c r="T70" s="39" t="str">
        <f>IF(O70&gt;0,INDEX(Calc!$B$4:$B$11,MATCH(MAX(G70:N70),G70:N70,0)),"-")</f>
        <v>Paddy Straw</v>
      </c>
    </row>
    <row r="71" spans="1:20">
      <c r="A71" s="39">
        <v>68</v>
      </c>
      <c r="B71" s="39" t="s">
        <v>119</v>
      </c>
      <c r="C71" s="39" t="s">
        <v>133</v>
      </c>
      <c r="D71" s="39" t="str">
        <f>B71&amp;"|"&amp;C71</f>
        <v>Assam|Golaghat</v>
      </c>
      <c r="E71" s="40">
        <v>26.52</v>
      </c>
      <c r="F71" s="40">
        <v>93.96</v>
      </c>
      <c r="G71" s="41">
        <v>49.56</v>
      </c>
      <c r="H71" s="41">
        <v>0</v>
      </c>
      <c r="I71" s="41">
        <v>0.13650000000000001</v>
      </c>
      <c r="J71" s="41">
        <v>3.1537999999999999</v>
      </c>
      <c r="K71" s="41">
        <v>17.8169</v>
      </c>
      <c r="L71" s="41">
        <v>2.0785999999999998</v>
      </c>
      <c r="M71" s="41">
        <v>0</v>
      </c>
      <c r="N71" s="41">
        <v>0</v>
      </c>
      <c r="O71" s="42">
        <f>SUM(G71:N71)</f>
        <v>72.745799999999988</v>
      </c>
      <c r="P71" s="42">
        <f>SUMPRODUCT(G71:N71,$G$2:$N$2)*1000/Assumptions!$C$15</f>
        <v>24.952137959530788</v>
      </c>
      <c r="Q71" s="43">
        <f>IF(ISNUMBER(Finder!$G$5),Finder!$D$8*Assumptions!$C$16*2*ASIN(SQRT(SIN(RADIANS(E71-Finder!$G$5)/2)^2+COS(RADIANS(Finder!$G$5))*COS(RADIANS(E71))*SIN(RADIANS(F71-Finder!$G$6)/2)^2)),"")</f>
        <v>1815.2821883190566</v>
      </c>
      <c r="R71" s="39">
        <f>IF(ISNUMBER(Q71),IF(Q71&lt;=Finder!$D$7,1,0),0)</f>
        <v>0</v>
      </c>
      <c r="S71" s="39" t="str">
        <f>IF(R71=1,O71+ROW()*0.000000001,"")</f>
        <v/>
      </c>
      <c r="T71" s="39" t="str">
        <f>IF(O71&gt;0,INDEX(Calc!$B$4:$B$11,MATCH(MAX(G71:N71),G71:N71,0)),"-")</f>
        <v>Paddy Straw</v>
      </c>
    </row>
    <row r="72" spans="1:20">
      <c r="A72" s="39">
        <v>69</v>
      </c>
      <c r="B72" s="39" t="s">
        <v>119</v>
      </c>
      <c r="C72" s="39" t="s">
        <v>134</v>
      </c>
      <c r="D72" s="39" t="str">
        <f>B72&amp;"|"&amp;C72</f>
        <v>Assam|Hailakandi</v>
      </c>
      <c r="E72" s="40">
        <v>24.68</v>
      </c>
      <c r="F72" s="40">
        <v>92.56</v>
      </c>
      <c r="G72" s="41">
        <v>17.22</v>
      </c>
      <c r="H72" s="41">
        <v>0</v>
      </c>
      <c r="I72" s="41">
        <v>0.31080000000000002</v>
      </c>
      <c r="J72" s="41">
        <v>5.0799999999999998E-2</v>
      </c>
      <c r="K72" s="41">
        <v>0.68989999999999996</v>
      </c>
      <c r="L72" s="41">
        <v>8.0500000000000002E-2</v>
      </c>
      <c r="M72" s="41">
        <v>0</v>
      </c>
      <c r="N72" s="41">
        <v>0</v>
      </c>
      <c r="O72" s="42">
        <f>SUM(G72:N72)</f>
        <v>18.352</v>
      </c>
      <c r="P72" s="42">
        <f>SUMPRODUCT(G72:N72,$G$2:$N$2)*1000/Assumptions!$C$15</f>
        <v>6.6437153803519049</v>
      </c>
      <c r="Q72" s="43">
        <f>IF(ISNUMBER(Finder!$G$5),Finder!$D$8*Assumptions!$C$16*2*ASIN(SQRT(SIN(RADIANS(E72-Finder!$G$5)/2)^2+COS(RADIANS(Finder!$G$5))*COS(RADIANS(E72))*SIN(RADIANS(F72-Finder!$G$6)/2)^2)),"")</f>
        <v>1740.1900610870678</v>
      </c>
      <c r="R72" s="39">
        <f>IF(ISNUMBER(Q72),IF(Q72&lt;=Finder!$D$7,1,0),0)</f>
        <v>0</v>
      </c>
      <c r="S72" s="39" t="str">
        <f>IF(R72=1,O72+ROW()*0.000000001,"")</f>
        <v/>
      </c>
      <c r="T72" s="39" t="str">
        <f>IF(O72&gt;0,INDEX(Calc!$B$4:$B$11,MATCH(MAX(G72:N72),G72:N72,0)),"-")</f>
        <v>Paddy Straw</v>
      </c>
    </row>
    <row r="73" spans="1:20">
      <c r="A73" s="39">
        <v>70</v>
      </c>
      <c r="B73" s="39" t="s">
        <v>119</v>
      </c>
      <c r="C73" s="39" t="s">
        <v>135</v>
      </c>
      <c r="D73" s="39" t="str">
        <f>B73&amp;"|"&amp;C73</f>
        <v>Assam|Hojai</v>
      </c>
      <c r="E73" s="40">
        <v>26</v>
      </c>
      <c r="F73" s="40">
        <v>92.86</v>
      </c>
      <c r="G73" s="41">
        <v>25.62</v>
      </c>
      <c r="H73" s="41">
        <v>0.45</v>
      </c>
      <c r="I73" s="41">
        <v>1.0458000000000001</v>
      </c>
      <c r="J73" s="41">
        <v>1.3376999999999999</v>
      </c>
      <c r="K73" s="41">
        <v>37.195599999999999</v>
      </c>
      <c r="L73" s="41">
        <v>4.3395000000000001</v>
      </c>
      <c r="M73" s="41">
        <v>0</v>
      </c>
      <c r="N73" s="41">
        <v>0</v>
      </c>
      <c r="O73" s="42">
        <f>SUM(G73:N73)</f>
        <v>69.988600000000005</v>
      </c>
      <c r="P73" s="42">
        <f>SUMPRODUCT(G73:N73,$G$2:$N$2)*1000/Assumptions!$C$15</f>
        <v>22.402763838416419</v>
      </c>
      <c r="Q73" s="43">
        <f>IF(ISNUMBER(Finder!$G$5),Finder!$D$8*Assumptions!$C$16*2*ASIN(SQRT(SIN(RADIANS(E73-Finder!$G$5)/2)^2+COS(RADIANS(Finder!$G$5))*COS(RADIANS(E73))*SIN(RADIANS(F73-Finder!$G$6)/2)^2)),"")</f>
        <v>1723.6016540499782</v>
      </c>
      <c r="R73" s="39">
        <f>IF(ISNUMBER(Q73),IF(Q73&lt;=Finder!$D$7,1,0),0)</f>
        <v>0</v>
      </c>
      <c r="S73" s="39" t="str">
        <f>IF(R73=1,O73+ROW()*0.000000001,"")</f>
        <v/>
      </c>
      <c r="T73" s="39" t="str">
        <f>IF(O73&gt;0,INDEX(Calc!$B$4:$B$11,MATCH(MAX(G73:N73),G73:N73,0)),"-")</f>
        <v>Cane Trash</v>
      </c>
    </row>
    <row r="74" spans="1:20">
      <c r="A74" s="39">
        <v>71</v>
      </c>
      <c r="B74" s="39" t="s">
        <v>119</v>
      </c>
      <c r="C74" s="39" t="s">
        <v>136</v>
      </c>
      <c r="D74" s="39" t="str">
        <f>B74&amp;"|"&amp;C74</f>
        <v>Assam|Jorhat</v>
      </c>
      <c r="E74" s="40">
        <v>26.75</v>
      </c>
      <c r="F74" s="40">
        <v>94.2</v>
      </c>
      <c r="G74" s="41">
        <v>28.14</v>
      </c>
      <c r="H74" s="41">
        <v>0</v>
      </c>
      <c r="I74" s="41">
        <v>1.9656</v>
      </c>
      <c r="J74" s="41">
        <v>1.7706999999999999</v>
      </c>
      <c r="K74" s="41">
        <v>0.24859999999999999</v>
      </c>
      <c r="L74" s="41">
        <v>2.9000000000000001E-2</v>
      </c>
      <c r="M74" s="41">
        <v>0</v>
      </c>
      <c r="N74" s="41">
        <v>0</v>
      </c>
      <c r="O74" s="42">
        <f>SUM(G74:N74)</f>
        <v>32.153900000000007</v>
      </c>
      <c r="P74" s="42">
        <f>SUMPRODUCT(G74:N74,$G$2:$N$2)*1000/Assumptions!$C$15</f>
        <v>11.49516335542522</v>
      </c>
      <c r="Q74" s="43">
        <f>IF(ISNUMBER(Finder!$G$5),Finder!$D$8*Assumptions!$C$16*2*ASIN(SQRT(SIN(RADIANS(E74-Finder!$G$5)/2)^2+COS(RADIANS(Finder!$G$5))*COS(RADIANS(E74))*SIN(RADIANS(F74-Finder!$G$6)/2)^2)),"")</f>
        <v>1832.7404635057396</v>
      </c>
      <c r="R74" s="39">
        <f>IF(ISNUMBER(Q74),IF(Q74&lt;=Finder!$D$7,1,0),0)</f>
        <v>0</v>
      </c>
      <c r="S74" s="39" t="str">
        <f>IF(R74=1,O74+ROW()*0.000000001,"")</f>
        <v/>
      </c>
      <c r="T74" s="39" t="str">
        <f>IF(O74&gt;0,INDEX(Calc!$B$4:$B$11,MATCH(MAX(G74:N74),G74:N74,0)),"-")</f>
        <v>Paddy Straw</v>
      </c>
    </row>
    <row r="75" spans="1:20">
      <c r="A75" s="39">
        <v>72</v>
      </c>
      <c r="B75" s="39" t="s">
        <v>119</v>
      </c>
      <c r="C75" s="39" t="s">
        <v>137</v>
      </c>
      <c r="D75" s="39" t="str">
        <f>B75&amp;"|"&amp;C75</f>
        <v>Assam|Kamrup</v>
      </c>
      <c r="E75" s="40">
        <v>26.3</v>
      </c>
      <c r="F75" s="40">
        <v>91.45</v>
      </c>
      <c r="G75" s="41">
        <v>44.1</v>
      </c>
      <c r="H75" s="41">
        <v>0</v>
      </c>
      <c r="I75" s="41">
        <v>35.187600000000003</v>
      </c>
      <c r="J75" s="41">
        <v>7.6226000000000003</v>
      </c>
      <c r="K75" s="41">
        <v>9.2859999999999996</v>
      </c>
      <c r="L75" s="41">
        <v>1.0833999999999999</v>
      </c>
      <c r="M75" s="41">
        <v>0</v>
      </c>
      <c r="N75" s="41">
        <v>0</v>
      </c>
      <c r="O75" s="42">
        <f>SUM(G75:N75)</f>
        <v>97.279600000000002</v>
      </c>
      <c r="P75" s="42">
        <f>SUMPRODUCT(G75:N75,$G$2:$N$2)*1000/Assumptions!$C$15</f>
        <v>31.791194338416428</v>
      </c>
      <c r="Q75" s="43">
        <f>IF(ISNUMBER(Finder!$G$5),Finder!$D$8*Assumptions!$C$16*2*ASIN(SQRT(SIN(RADIANS(E75-Finder!$G$5)/2)^2+COS(RADIANS(Finder!$G$5))*COS(RADIANS(E75))*SIN(RADIANS(F75-Finder!$G$6)/2)^2)),"")</f>
        <v>1579.059828562107</v>
      </c>
      <c r="R75" s="39">
        <f>IF(ISNUMBER(Q75),IF(Q75&lt;=Finder!$D$7,1,0),0)</f>
        <v>0</v>
      </c>
      <c r="S75" s="39" t="str">
        <f>IF(R75=1,O75+ROW()*0.000000001,"")</f>
        <v/>
      </c>
      <c r="T75" s="39" t="str">
        <f>IF(O75&gt;0,INDEX(Calc!$B$4:$B$11,MATCH(MAX(G75:N75),G75:N75,0)),"-")</f>
        <v>Paddy Straw</v>
      </c>
    </row>
    <row r="76" spans="1:20">
      <c r="A76" s="39">
        <v>73</v>
      </c>
      <c r="B76" s="39" t="s">
        <v>119</v>
      </c>
      <c r="C76" s="39" t="s">
        <v>138</v>
      </c>
      <c r="D76" s="39" t="str">
        <f>B76&amp;"|"&amp;C76</f>
        <v>Assam|Kamrup Metro</v>
      </c>
      <c r="E76" s="40">
        <v>26.14</v>
      </c>
      <c r="F76" s="40">
        <v>91.74</v>
      </c>
      <c r="G76" s="41">
        <v>7.14</v>
      </c>
      <c r="H76" s="41">
        <v>0</v>
      </c>
      <c r="I76" s="41">
        <v>1.7828999999999999</v>
      </c>
      <c r="J76" s="41">
        <v>0.37119999999999997</v>
      </c>
      <c r="K76" s="41">
        <v>0.65769999999999995</v>
      </c>
      <c r="L76" s="41">
        <v>7.6700000000000004E-2</v>
      </c>
      <c r="M76" s="41">
        <v>0</v>
      </c>
      <c r="N76" s="41">
        <v>0</v>
      </c>
      <c r="O76" s="42">
        <f>SUM(G76:N76)</f>
        <v>10.028500000000001</v>
      </c>
      <c r="P76" s="42">
        <f>SUMPRODUCT(G76:N76,$G$2:$N$2)*1000/Assumptions!$C$15</f>
        <v>3.4656499897360704</v>
      </c>
      <c r="Q76" s="43">
        <f>IF(ISNUMBER(Finder!$G$5),Finder!$D$8*Assumptions!$C$16*2*ASIN(SQRT(SIN(RADIANS(E76-Finder!$G$5)/2)^2+COS(RADIANS(Finder!$G$5))*COS(RADIANS(E76))*SIN(RADIANS(F76-Finder!$G$6)/2)^2)),"")</f>
        <v>1611.6750864039536</v>
      </c>
      <c r="R76" s="39">
        <f>IF(ISNUMBER(Q76),IF(Q76&lt;=Finder!$D$7,1,0),0)</f>
        <v>0</v>
      </c>
      <c r="S76" s="39" t="str">
        <f>IF(R76=1,O76+ROW()*0.000000001,"")</f>
        <v/>
      </c>
      <c r="T76" s="39" t="str">
        <f>IF(O76&gt;0,INDEX(Calc!$B$4:$B$11,MATCH(MAX(G76:N76),G76:N76,0)),"-")</f>
        <v>Paddy Straw</v>
      </c>
    </row>
    <row r="77" spans="1:20">
      <c r="A77" s="39">
        <v>74</v>
      </c>
      <c r="B77" s="39" t="s">
        <v>119</v>
      </c>
      <c r="C77" s="39" t="s">
        <v>139</v>
      </c>
      <c r="D77" s="39" t="str">
        <f>B77&amp;"|"&amp;C77</f>
        <v>Assam|Karbi Anglong</v>
      </c>
      <c r="E77" s="40">
        <v>25.84</v>
      </c>
      <c r="F77" s="40">
        <v>93.43</v>
      </c>
      <c r="G77" s="41">
        <v>28.98</v>
      </c>
      <c r="H77" s="41">
        <v>0.45</v>
      </c>
      <c r="I77" s="41">
        <v>25.751200000000001</v>
      </c>
      <c r="J77" s="41">
        <v>7.5864000000000003</v>
      </c>
      <c r="K77" s="41">
        <v>23.213699999999999</v>
      </c>
      <c r="L77" s="41">
        <v>2.7082999999999999</v>
      </c>
      <c r="M77" s="41">
        <v>0</v>
      </c>
      <c r="N77" s="41">
        <v>0</v>
      </c>
      <c r="O77" s="42">
        <f>SUM(G77:N77)</f>
        <v>88.689599999999999</v>
      </c>
      <c r="P77" s="42">
        <f>SUMPRODUCT(G77:N77,$G$2:$N$2)*1000/Assumptions!$C$15</f>
        <v>28.175000555131966</v>
      </c>
      <c r="Q77" s="43">
        <f>IF(ISNUMBER(Finder!$G$5),Finder!$D$8*Assumptions!$C$16*2*ASIN(SQRT(SIN(RADIANS(E77-Finder!$G$5)/2)^2+COS(RADIANS(Finder!$G$5))*COS(RADIANS(E77))*SIN(RADIANS(F77-Finder!$G$6)/2)^2)),"")</f>
        <v>1783.2964441743711</v>
      </c>
      <c r="R77" s="39">
        <f>IF(ISNUMBER(Q77),IF(Q77&lt;=Finder!$D$7,1,0),0)</f>
        <v>0</v>
      </c>
      <c r="S77" s="39" t="str">
        <f>IF(R77=1,O77+ROW()*0.000000001,"")</f>
        <v/>
      </c>
      <c r="T77" s="39" t="str">
        <f>IF(O77&gt;0,INDEX(Calc!$B$4:$B$11,MATCH(MAX(G77:N77),G77:N77,0)),"-")</f>
        <v>Paddy Straw</v>
      </c>
    </row>
    <row r="78" spans="1:20">
      <c r="A78" s="39">
        <v>75</v>
      </c>
      <c r="B78" s="39" t="s">
        <v>119</v>
      </c>
      <c r="C78" s="39" t="s">
        <v>140</v>
      </c>
      <c r="D78" s="39" t="str">
        <f>B78&amp;"|"&amp;C78</f>
        <v>Assam|Kokrajhar</v>
      </c>
      <c r="E78" s="40">
        <v>26.4</v>
      </c>
      <c r="F78" s="40">
        <v>90.27</v>
      </c>
      <c r="G78" s="41">
        <v>31.08</v>
      </c>
      <c r="H78" s="41">
        <v>0</v>
      </c>
      <c r="I78" s="41">
        <v>5.1208</v>
      </c>
      <c r="J78" s="41">
        <v>6.9806999999999997</v>
      </c>
      <c r="K78" s="41">
        <v>1.3877999999999999</v>
      </c>
      <c r="L78" s="41">
        <v>0.16189999999999999</v>
      </c>
      <c r="M78" s="41">
        <v>0</v>
      </c>
      <c r="N78" s="41">
        <v>0</v>
      </c>
      <c r="O78" s="42">
        <f>SUM(G78:N78)</f>
        <v>44.731200000000001</v>
      </c>
      <c r="P78" s="42">
        <f>SUMPRODUCT(G78:N78,$G$2:$N$2)*1000/Assumptions!$C$15</f>
        <v>15.40570574457478</v>
      </c>
      <c r="Q78" s="43">
        <f>IF(ISNUMBER(Finder!$G$5),Finder!$D$8*Assumptions!$C$16*2*ASIN(SQRT(SIN(RADIANS(E78-Finder!$G$5)/2)^2+COS(RADIANS(Finder!$G$5))*COS(RADIANS(E78))*SIN(RADIANS(F78-Finder!$G$6)/2)^2)),"")</f>
        <v>1462.7088985995083</v>
      </c>
      <c r="R78" s="39">
        <f>IF(ISNUMBER(Q78),IF(Q78&lt;=Finder!$D$7,1,0),0)</f>
        <v>0</v>
      </c>
      <c r="S78" s="39" t="str">
        <f>IF(R78=1,O78+ROW()*0.000000001,"")</f>
        <v/>
      </c>
      <c r="T78" s="39" t="str">
        <f>IF(O78&gt;0,INDEX(Calc!$B$4:$B$11,MATCH(MAX(G78:N78),G78:N78,0)),"-")</f>
        <v>Paddy Straw</v>
      </c>
    </row>
    <row r="79" spans="1:20">
      <c r="A79" s="39">
        <v>76</v>
      </c>
      <c r="B79" s="39" t="s">
        <v>119</v>
      </c>
      <c r="C79" s="39" t="s">
        <v>141</v>
      </c>
      <c r="D79" s="39" t="str">
        <f>B79&amp;"|"&amp;C79</f>
        <v>Assam|Lakhimpur</v>
      </c>
      <c r="E79" s="40">
        <v>27.24</v>
      </c>
      <c r="F79" s="40">
        <v>94.1</v>
      </c>
      <c r="G79" s="41">
        <v>43.68</v>
      </c>
      <c r="H79" s="41">
        <v>0</v>
      </c>
      <c r="I79" s="41">
        <v>2.7309999999999999</v>
      </c>
      <c r="J79" s="41">
        <v>16.857199999999999</v>
      </c>
      <c r="K79" s="41">
        <v>2.0101</v>
      </c>
      <c r="L79" s="41">
        <v>0.23449999999999999</v>
      </c>
      <c r="M79" s="41">
        <v>0</v>
      </c>
      <c r="N79" s="41">
        <v>0</v>
      </c>
      <c r="O79" s="42">
        <f>SUM(G79:N79)</f>
        <v>65.512799999999999</v>
      </c>
      <c r="P79" s="42">
        <f>SUMPRODUCT(G79:N79,$G$2:$N$2)*1000/Assumptions!$C$15</f>
        <v>22.429940284750728</v>
      </c>
      <c r="Q79" s="43">
        <f>IF(ISNUMBER(Finder!$G$5),Finder!$D$8*Assumptions!$C$16*2*ASIN(SQRT(SIN(RADIANS(E79-Finder!$G$5)/2)^2+COS(RADIANS(Finder!$G$5))*COS(RADIANS(E79))*SIN(RADIANS(F79-Finder!$G$6)/2)^2)),"")</f>
        <v>1811.8567533246678</v>
      </c>
      <c r="R79" s="39">
        <f>IF(ISNUMBER(Q79),IF(Q79&lt;=Finder!$D$7,1,0),0)</f>
        <v>0</v>
      </c>
      <c r="S79" s="39" t="str">
        <f>IF(R79=1,O79+ROW()*0.000000001,"")</f>
        <v/>
      </c>
      <c r="T79" s="39" t="str">
        <f>IF(O79&gt;0,INDEX(Calc!$B$4:$B$11,MATCH(MAX(G79:N79),G79:N79,0)),"-")</f>
        <v>Paddy Straw</v>
      </c>
    </row>
    <row r="80" spans="1:20">
      <c r="A80" s="39">
        <v>77</v>
      </c>
      <c r="B80" s="39" t="s">
        <v>119</v>
      </c>
      <c r="C80" s="39" t="s">
        <v>142</v>
      </c>
      <c r="D80" s="39" t="str">
        <f>B80&amp;"|"&amp;C80</f>
        <v>Assam|Majuli</v>
      </c>
      <c r="E80" s="40">
        <v>26.95</v>
      </c>
      <c r="F80" s="40">
        <v>94.17</v>
      </c>
      <c r="G80" s="41">
        <v>10.92</v>
      </c>
      <c r="H80" s="41">
        <v>0</v>
      </c>
      <c r="I80" s="41">
        <v>0.4536</v>
      </c>
      <c r="J80" s="41">
        <v>4.0872000000000002</v>
      </c>
      <c r="K80" s="41">
        <v>5.6344000000000003</v>
      </c>
      <c r="L80" s="41">
        <v>0.6573</v>
      </c>
      <c r="M80" s="41">
        <v>0</v>
      </c>
      <c r="N80" s="41">
        <v>0</v>
      </c>
      <c r="O80" s="42">
        <f>SUM(G80:N80)</f>
        <v>21.752499999999998</v>
      </c>
      <c r="P80" s="42">
        <f>SUMPRODUCT(G80:N80,$G$2:$N$2)*1000/Assumptions!$C$15</f>
        <v>7.1783930624633436</v>
      </c>
      <c r="Q80" s="43">
        <f>IF(ISNUMBER(Finder!$G$5),Finder!$D$8*Assumptions!$C$16*2*ASIN(SQRT(SIN(RADIANS(E80-Finder!$G$5)/2)^2+COS(RADIANS(Finder!$G$5))*COS(RADIANS(E80))*SIN(RADIANS(F80-Finder!$G$6)/2)^2)),"")</f>
        <v>1825.0857779216167</v>
      </c>
      <c r="R80" s="39">
        <f>IF(ISNUMBER(Q80),IF(Q80&lt;=Finder!$D$7,1,0),0)</f>
        <v>0</v>
      </c>
      <c r="S80" s="39" t="str">
        <f>IF(R80=1,O80+ROW()*0.000000001,"")</f>
        <v/>
      </c>
      <c r="T80" s="39" t="str">
        <f>IF(O80&gt;0,INDEX(Calc!$B$4:$B$11,MATCH(MAX(G80:N80),G80:N80,0)),"-")</f>
        <v>Paddy Straw</v>
      </c>
    </row>
    <row r="81" spans="1:20">
      <c r="A81" s="39">
        <v>78</v>
      </c>
      <c r="B81" s="39" t="s">
        <v>119</v>
      </c>
      <c r="C81" s="39" t="s">
        <v>143</v>
      </c>
      <c r="D81" s="39" t="str">
        <f>B81&amp;"|"&amp;C81</f>
        <v>Assam|Marigaon</v>
      </c>
      <c r="E81" s="40">
        <v>26.25</v>
      </c>
      <c r="F81" s="40">
        <v>92.34</v>
      </c>
      <c r="G81" s="41">
        <v>31.5</v>
      </c>
      <c r="H81" s="41">
        <v>0.45</v>
      </c>
      <c r="I81" s="41">
        <v>40.147799999999997</v>
      </c>
      <c r="J81" s="41">
        <v>4.0449999999999999</v>
      </c>
      <c r="K81" s="41">
        <v>8.3061000000000007</v>
      </c>
      <c r="L81" s="41">
        <v>0.96899999999999997</v>
      </c>
      <c r="M81" s="41">
        <v>0</v>
      </c>
      <c r="N81" s="41">
        <v>0</v>
      </c>
      <c r="O81" s="42">
        <f>SUM(G81:N81)</f>
        <v>85.417899999999989</v>
      </c>
      <c r="P81" s="42">
        <f>SUMPRODUCT(G81:N81,$G$2:$N$2)*1000/Assumptions!$C$15</f>
        <v>27.424319085630497</v>
      </c>
      <c r="Q81" s="43">
        <f>IF(ISNUMBER(Finder!$G$5),Finder!$D$8*Assumptions!$C$16*2*ASIN(SQRT(SIN(RADIANS(E81-Finder!$G$5)/2)^2+COS(RADIANS(Finder!$G$5))*COS(RADIANS(E81))*SIN(RADIANS(F81-Finder!$G$6)/2)^2)),"")</f>
        <v>1666.1946446595657</v>
      </c>
      <c r="R81" s="39">
        <f>IF(ISNUMBER(Q81),IF(Q81&lt;=Finder!$D$7,1,0),0)</f>
        <v>0</v>
      </c>
      <c r="S81" s="39" t="str">
        <f>IF(R81=1,O81+ROW()*0.000000001,"")</f>
        <v/>
      </c>
      <c r="T81" s="39" t="str">
        <f>IF(O81&gt;0,INDEX(Calc!$B$4:$B$11,MATCH(MAX(G81:N81),G81:N81,0)),"-")</f>
        <v>Maize Stover</v>
      </c>
    </row>
    <row r="82" spans="1:20">
      <c r="A82" s="39">
        <v>79</v>
      </c>
      <c r="B82" s="39" t="s">
        <v>119</v>
      </c>
      <c r="C82" s="39" t="s">
        <v>144</v>
      </c>
      <c r="D82" s="39" t="str">
        <f>B82&amp;"|"&amp;C82</f>
        <v>Assam|Nagaon</v>
      </c>
      <c r="E82" s="40">
        <v>26.35</v>
      </c>
      <c r="F82" s="40">
        <v>92.68</v>
      </c>
      <c r="G82" s="41">
        <v>56.28</v>
      </c>
      <c r="H82" s="41">
        <v>0.45</v>
      </c>
      <c r="I82" s="41">
        <v>49.204000000000001</v>
      </c>
      <c r="J82" s="41">
        <v>8.2461000000000002</v>
      </c>
      <c r="K82" s="41">
        <v>16.387599999999999</v>
      </c>
      <c r="L82" s="41">
        <v>1.9118999999999999</v>
      </c>
      <c r="M82" s="41">
        <v>0</v>
      </c>
      <c r="N82" s="41">
        <v>0</v>
      </c>
      <c r="O82" s="42">
        <f>SUM(G82:N82)</f>
        <v>132.4796</v>
      </c>
      <c r="P82" s="42">
        <f>SUMPRODUCT(G82:N82,$G$2:$N$2)*1000/Assumptions!$C$15</f>
        <v>43.046455987390026</v>
      </c>
      <c r="Q82" s="43">
        <f>IF(ISNUMBER(Finder!$G$5),Finder!$D$8*Assumptions!$C$16*2*ASIN(SQRT(SIN(RADIANS(E82-Finder!$G$5)/2)^2+COS(RADIANS(Finder!$G$5))*COS(RADIANS(E82))*SIN(RADIANS(F82-Finder!$G$6)/2)^2)),"")</f>
        <v>1696.1536319296374</v>
      </c>
      <c r="R82" s="39">
        <f>IF(ISNUMBER(Q82),IF(Q82&lt;=Finder!$D$7,1,0),0)</f>
        <v>0</v>
      </c>
      <c r="S82" s="39" t="str">
        <f>IF(R82=1,O82+ROW()*0.000000001,"")</f>
        <v/>
      </c>
      <c r="T82" s="39" t="str">
        <f>IF(O82&gt;0,INDEX(Calc!$B$4:$B$11,MATCH(MAX(G82:N82),G82:N82,0)),"-")</f>
        <v>Paddy Straw</v>
      </c>
    </row>
    <row r="83" spans="1:20">
      <c r="A83" s="39">
        <v>80</v>
      </c>
      <c r="B83" s="39" t="s">
        <v>119</v>
      </c>
      <c r="C83" s="39" t="s">
        <v>145</v>
      </c>
      <c r="D83" s="39" t="str">
        <f>B83&amp;"|"&amp;C83</f>
        <v>Assam|Nalbari</v>
      </c>
      <c r="E83" s="40">
        <v>26.44</v>
      </c>
      <c r="F83" s="40">
        <v>91.44</v>
      </c>
      <c r="G83" s="41">
        <v>21</v>
      </c>
      <c r="H83" s="41">
        <v>0</v>
      </c>
      <c r="I83" s="41">
        <v>9.4794</v>
      </c>
      <c r="J83" s="41">
        <v>4.3872999999999998</v>
      </c>
      <c r="K83" s="41">
        <v>0.49730000000000002</v>
      </c>
      <c r="L83" s="41">
        <v>5.8000000000000003E-2</v>
      </c>
      <c r="M83" s="41">
        <v>0</v>
      </c>
      <c r="N83" s="41">
        <v>0</v>
      </c>
      <c r="O83" s="42">
        <f>SUM(G83:N83)</f>
        <v>35.421999999999997</v>
      </c>
      <c r="P83" s="42">
        <f>SUMPRODUCT(G83:N83,$G$2:$N$2)*1000/Assumptions!$C$15</f>
        <v>11.939351924926688</v>
      </c>
      <c r="Q83" s="43">
        <f>IF(ISNUMBER(Finder!$G$5),Finder!$D$8*Assumptions!$C$16*2*ASIN(SQRT(SIN(RADIANS(E83-Finder!$G$5)/2)^2+COS(RADIANS(Finder!$G$5))*COS(RADIANS(E83))*SIN(RADIANS(F83-Finder!$G$6)/2)^2)),"")</f>
        <v>1574.0919671527008</v>
      </c>
      <c r="R83" s="39">
        <f>IF(ISNUMBER(Q83),IF(Q83&lt;=Finder!$D$7,1,0),0)</f>
        <v>0</v>
      </c>
      <c r="S83" s="39" t="str">
        <f>IF(R83=1,O83+ROW()*0.000000001,"")</f>
        <v/>
      </c>
      <c r="T83" s="39" t="str">
        <f>IF(O83&gt;0,INDEX(Calc!$B$4:$B$11,MATCH(MAX(G83:N83),G83:N83,0)),"-")</f>
        <v>Paddy Straw</v>
      </c>
    </row>
    <row r="84" spans="1:20">
      <c r="A84" s="39">
        <v>81</v>
      </c>
      <c r="B84" s="39" t="s">
        <v>119</v>
      </c>
      <c r="C84" s="39" t="s">
        <v>146</v>
      </c>
      <c r="D84" s="39" t="str">
        <f>B84&amp;"|"&amp;C84</f>
        <v>Assam|Sivasagar</v>
      </c>
      <c r="E84" s="40">
        <v>26.98</v>
      </c>
      <c r="F84" s="40">
        <v>94.64</v>
      </c>
      <c r="G84" s="41">
        <v>28.98</v>
      </c>
      <c r="H84" s="41">
        <v>0</v>
      </c>
      <c r="I84" s="41">
        <v>0.41370000000000001</v>
      </c>
      <c r="J84" s="41">
        <v>0.64680000000000004</v>
      </c>
      <c r="K84" s="41">
        <v>0.58550000000000002</v>
      </c>
      <c r="L84" s="41">
        <v>6.83E-2</v>
      </c>
      <c r="M84" s="41">
        <v>0</v>
      </c>
      <c r="N84" s="41">
        <v>0</v>
      </c>
      <c r="O84" s="42">
        <f>SUM(G84:N84)</f>
        <v>30.694299999999998</v>
      </c>
      <c r="P84" s="42">
        <f>SUMPRODUCT(G84:N84,$G$2:$N$2)*1000/Assumptions!$C$15</f>
        <v>11.125904864809385</v>
      </c>
      <c r="Q84" s="43">
        <f>IF(ISNUMBER(Finder!$G$5),Finder!$D$8*Assumptions!$C$16*2*ASIN(SQRT(SIN(RADIANS(E84-Finder!$G$5)/2)^2+COS(RADIANS(Finder!$G$5))*COS(RADIANS(E84))*SIN(RADIANS(F84-Finder!$G$6)/2)^2)),"")</f>
        <v>1869.9749797240361</v>
      </c>
      <c r="R84" s="39">
        <f>IF(ISNUMBER(Q84),IF(Q84&lt;=Finder!$D$7,1,0),0)</f>
        <v>0</v>
      </c>
      <c r="S84" s="39" t="str">
        <f>IF(R84=1,O84+ROW()*0.000000001,"")</f>
        <v/>
      </c>
      <c r="T84" s="39" t="str">
        <f>IF(O84&gt;0,INDEX(Calc!$B$4:$B$11,MATCH(MAX(G84:N84),G84:N84,0)),"-")</f>
        <v>Paddy Straw</v>
      </c>
    </row>
    <row r="85" spans="1:20">
      <c r="A85" s="39">
        <v>82</v>
      </c>
      <c r="B85" s="39" t="s">
        <v>119</v>
      </c>
      <c r="C85" s="39" t="s">
        <v>147</v>
      </c>
      <c r="D85" s="39" t="str">
        <f>B85&amp;"|"&amp;C85</f>
        <v>Assam|Sonitpur</v>
      </c>
      <c r="E85" s="40">
        <v>26.63</v>
      </c>
      <c r="F85" s="40">
        <v>92.8</v>
      </c>
      <c r="G85" s="41">
        <v>33.18</v>
      </c>
      <c r="H85" s="41">
        <v>0</v>
      </c>
      <c r="I85" s="41">
        <v>23.8581</v>
      </c>
      <c r="J85" s="41">
        <v>5.1094999999999997</v>
      </c>
      <c r="K85" s="41">
        <v>5.3396999999999997</v>
      </c>
      <c r="L85" s="41">
        <v>0.623</v>
      </c>
      <c r="M85" s="41">
        <v>0</v>
      </c>
      <c r="N85" s="41">
        <v>0</v>
      </c>
      <c r="O85" s="42">
        <f>SUM(G85:N85)</f>
        <v>68.110299999999995</v>
      </c>
      <c r="P85" s="42">
        <f>SUMPRODUCT(G85:N85,$G$2:$N$2)*1000/Assumptions!$C$15</f>
        <v>22.427592209384162</v>
      </c>
      <c r="Q85" s="43">
        <f>IF(ISNUMBER(Finder!$G$5),Finder!$D$8*Assumptions!$C$16*2*ASIN(SQRT(SIN(RADIANS(E85-Finder!$G$5)/2)^2+COS(RADIANS(Finder!$G$5))*COS(RADIANS(E85))*SIN(RADIANS(F85-Finder!$G$6)/2)^2)),"")</f>
        <v>1700.2414979639534</v>
      </c>
      <c r="R85" s="39">
        <f>IF(ISNUMBER(Q85),IF(Q85&lt;=Finder!$D$7,1,0),0)</f>
        <v>0</v>
      </c>
      <c r="S85" s="39" t="str">
        <f>IF(R85=1,O85+ROW()*0.000000001,"")</f>
        <v/>
      </c>
      <c r="T85" s="39" t="str">
        <f>IF(O85&gt;0,INDEX(Calc!$B$4:$B$11,MATCH(MAX(G85:N85),G85:N85,0)),"-")</f>
        <v>Paddy Straw</v>
      </c>
    </row>
    <row r="86" spans="1:20">
      <c r="A86" s="39">
        <v>83</v>
      </c>
      <c r="B86" s="39" t="s">
        <v>119</v>
      </c>
      <c r="C86" s="39" t="s">
        <v>148</v>
      </c>
      <c r="D86" s="39" t="str">
        <f>B86&amp;"|"&amp;C86</f>
        <v>Assam|South Salmara Mancachar</v>
      </c>
      <c r="E86" s="40">
        <v>25.75</v>
      </c>
      <c r="F86" s="40">
        <v>89.98</v>
      </c>
      <c r="G86" s="41">
        <v>8.4</v>
      </c>
      <c r="H86" s="41">
        <v>0</v>
      </c>
      <c r="I86" s="41">
        <v>3.7494999999999998</v>
      </c>
      <c r="J86" s="41">
        <v>1.5955999999999999</v>
      </c>
      <c r="K86" s="41">
        <v>0.1525</v>
      </c>
      <c r="L86" s="41">
        <v>1.78E-2</v>
      </c>
      <c r="M86" s="41">
        <v>0</v>
      </c>
      <c r="N86" s="41">
        <v>0</v>
      </c>
      <c r="O86" s="42">
        <f>SUM(G86:N86)</f>
        <v>13.915399999999998</v>
      </c>
      <c r="P86" s="42">
        <f>SUMPRODUCT(G86:N86,$G$2:$N$2)*1000/Assumptions!$C$15</f>
        <v>4.7012838973607032</v>
      </c>
      <c r="Q86" s="43">
        <f>IF(ISNUMBER(Finder!$G$5),Finder!$D$8*Assumptions!$C$16*2*ASIN(SQRT(SIN(RADIANS(E86-Finder!$G$5)/2)^2+COS(RADIANS(Finder!$G$5))*COS(RADIANS(E86))*SIN(RADIANS(F86-Finder!$G$6)/2)^2)),"")</f>
        <v>1455.9114288430474</v>
      </c>
      <c r="R86" s="39">
        <f>IF(ISNUMBER(Q86),IF(Q86&lt;=Finder!$D$7,1,0),0)</f>
        <v>0</v>
      </c>
      <c r="S86" s="39" t="str">
        <f>IF(R86=1,O86+ROW()*0.000000001,"")</f>
        <v/>
      </c>
      <c r="T86" s="39" t="str">
        <f>IF(O86&gt;0,INDEX(Calc!$B$4:$B$11,MATCH(MAX(G86:N86),G86:N86,0)),"-")</f>
        <v>Paddy Straw</v>
      </c>
    </row>
    <row r="87" spans="1:20">
      <c r="A87" s="39">
        <v>84</v>
      </c>
      <c r="B87" s="39" t="s">
        <v>119</v>
      </c>
      <c r="C87" s="39" t="s">
        <v>149</v>
      </c>
      <c r="D87" s="39" t="str">
        <f>B87&amp;"|"&amp;C87</f>
        <v>Assam|Sribhumi</v>
      </c>
      <c r="E87" s="40">
        <v>24.87</v>
      </c>
      <c r="F87" s="40">
        <v>92.35</v>
      </c>
      <c r="G87" s="41">
        <v>26.04</v>
      </c>
      <c r="H87" s="41">
        <v>0</v>
      </c>
      <c r="I87" s="41">
        <v>0.55130000000000001</v>
      </c>
      <c r="J87" s="41">
        <v>0.1023</v>
      </c>
      <c r="K87" s="41">
        <v>0.8901</v>
      </c>
      <c r="L87" s="41">
        <v>0.1038</v>
      </c>
      <c r="M87" s="41">
        <v>0</v>
      </c>
      <c r="N87" s="41">
        <v>0</v>
      </c>
      <c r="O87" s="42">
        <f>SUM(G87:N87)</f>
        <v>27.6875</v>
      </c>
      <c r="P87" s="42">
        <f>SUMPRODUCT(G87:N87,$G$2:$N$2)*1000/Assumptions!$C$15</f>
        <v>10.027989722580646</v>
      </c>
      <c r="Q87" s="43">
        <f>IF(ISNUMBER(Finder!$G$5),Finder!$D$8*Assumptions!$C$16*2*ASIN(SQRT(SIN(RADIANS(E87-Finder!$G$5)/2)^2+COS(RADIANS(Finder!$G$5))*COS(RADIANS(E87))*SIN(RADIANS(F87-Finder!$G$6)/2)^2)),"")</f>
        <v>1713.0300806772298</v>
      </c>
      <c r="R87" s="39">
        <f>IF(ISNUMBER(Q87),IF(Q87&lt;=Finder!$D$7,1,0),0)</f>
        <v>0</v>
      </c>
      <c r="S87" s="39" t="str">
        <f>IF(R87=1,O87+ROW()*0.000000001,"")</f>
        <v/>
      </c>
      <c r="T87" s="39" t="str">
        <f>IF(O87&gt;0,INDEX(Calc!$B$4:$B$11,MATCH(MAX(G87:N87),G87:N87,0)),"-")</f>
        <v>Paddy Straw</v>
      </c>
    </row>
    <row r="88" spans="1:20">
      <c r="A88" s="39">
        <v>85</v>
      </c>
      <c r="B88" s="39" t="s">
        <v>119</v>
      </c>
      <c r="C88" s="39" t="s">
        <v>150</v>
      </c>
      <c r="D88" s="39" t="str">
        <f>B88&amp;"|"&amp;C88</f>
        <v>Assam|Tinsukia</v>
      </c>
      <c r="E88" s="40">
        <v>27.49</v>
      </c>
      <c r="F88" s="40">
        <v>95.36</v>
      </c>
      <c r="G88" s="41">
        <v>26.04</v>
      </c>
      <c r="H88" s="41">
        <v>0</v>
      </c>
      <c r="I88" s="41">
        <v>3.5247999999999999</v>
      </c>
      <c r="J88" s="41">
        <v>4.0670000000000002</v>
      </c>
      <c r="K88" s="41">
        <v>2.2059000000000002</v>
      </c>
      <c r="L88" s="41">
        <v>0.25740000000000002</v>
      </c>
      <c r="M88" s="41">
        <v>0</v>
      </c>
      <c r="N88" s="41">
        <v>0</v>
      </c>
      <c r="O88" s="42">
        <f>SUM(G88:N88)</f>
        <v>36.095099999999995</v>
      </c>
      <c r="P88" s="42">
        <f>SUMPRODUCT(G88:N88,$G$2:$N$2)*1000/Assumptions!$C$15</f>
        <v>12.498741978299121</v>
      </c>
      <c r="Q88" s="43">
        <f>IF(ISNUMBER(Finder!$G$5),Finder!$D$8*Assumptions!$C$16*2*ASIN(SQRT(SIN(RADIANS(E88-Finder!$G$5)/2)^2+COS(RADIANS(Finder!$G$5))*COS(RADIANS(E88))*SIN(RADIANS(F88-Finder!$G$6)/2)^2)),"")</f>
        <v>1929.0731798708273</v>
      </c>
      <c r="R88" s="39">
        <f>IF(ISNUMBER(Q88),IF(Q88&lt;=Finder!$D$7,1,0),0)</f>
        <v>0</v>
      </c>
      <c r="S88" s="39" t="str">
        <f>IF(R88=1,O88+ROW()*0.000000001,"")</f>
        <v/>
      </c>
      <c r="T88" s="39" t="str">
        <f>IF(O88&gt;0,INDEX(Calc!$B$4:$B$11,MATCH(MAX(G88:N88),G88:N88,0)),"-")</f>
        <v>Paddy Straw</v>
      </c>
    </row>
    <row r="89" spans="1:20">
      <c r="A89" s="39">
        <v>86</v>
      </c>
      <c r="B89" s="39" t="s">
        <v>119</v>
      </c>
      <c r="C89" s="39" t="s">
        <v>151</v>
      </c>
      <c r="D89" s="39" t="str">
        <f>B89&amp;"|"&amp;C89</f>
        <v>Assam|Udalguri</v>
      </c>
      <c r="E89" s="40">
        <v>26.75</v>
      </c>
      <c r="F89" s="40">
        <v>92.1</v>
      </c>
      <c r="G89" s="41">
        <v>35.28</v>
      </c>
      <c r="H89" s="41">
        <v>0</v>
      </c>
      <c r="I89" s="41">
        <v>6.1539999999999999</v>
      </c>
      <c r="J89" s="41">
        <v>1.7511000000000001</v>
      </c>
      <c r="K89" s="41">
        <v>4.1536999999999997</v>
      </c>
      <c r="L89" s="41">
        <v>0.48459999999999998</v>
      </c>
      <c r="M89" s="41">
        <v>0</v>
      </c>
      <c r="N89" s="41">
        <v>0</v>
      </c>
      <c r="O89" s="42">
        <f>SUM(G89:N89)</f>
        <v>47.823399999999999</v>
      </c>
      <c r="P89" s="42">
        <f>SUMPRODUCT(G89:N89,$G$2:$N$2)*1000/Assumptions!$C$15</f>
        <v>16.613882059237536</v>
      </c>
      <c r="Q89" s="43">
        <f>IF(ISNUMBER(Finder!$G$5),Finder!$D$8*Assumptions!$C$16*2*ASIN(SQRT(SIN(RADIANS(E89-Finder!$G$5)/2)^2+COS(RADIANS(Finder!$G$5))*COS(RADIANS(E89))*SIN(RADIANS(F89-Finder!$G$6)/2)^2)),"")</f>
        <v>1629.4952646264931</v>
      </c>
      <c r="R89" s="39">
        <f>IF(ISNUMBER(Q89),IF(Q89&lt;=Finder!$D$7,1,0),0)</f>
        <v>0</v>
      </c>
      <c r="S89" s="39" t="str">
        <f>IF(R89=1,O89+ROW()*0.000000001,"")</f>
        <v/>
      </c>
      <c r="T89" s="39" t="str">
        <f>IF(O89&gt;0,INDEX(Calc!$B$4:$B$11,MATCH(MAX(G89:N89),G89:N89,0)),"-")</f>
        <v>Paddy Straw</v>
      </c>
    </row>
    <row r="90" spans="1:20">
      <c r="A90" s="39">
        <v>87</v>
      </c>
      <c r="B90" s="39" t="s">
        <v>119</v>
      </c>
      <c r="C90" s="39" t="s">
        <v>152</v>
      </c>
      <c r="D90" s="39" t="str">
        <f>B90&amp;"|"&amp;C90</f>
        <v>Assam|West Karbi Anglong</v>
      </c>
      <c r="E90" s="40">
        <v>25.99</v>
      </c>
      <c r="F90" s="40">
        <v>92.55</v>
      </c>
      <c r="G90" s="41">
        <v>21.42</v>
      </c>
      <c r="H90" s="41">
        <v>0</v>
      </c>
      <c r="I90" s="41">
        <v>6.8270999999999997</v>
      </c>
      <c r="J90" s="41">
        <v>5.1738</v>
      </c>
      <c r="K90" s="41">
        <v>45.433100000000003</v>
      </c>
      <c r="L90" s="41">
        <v>5.3005000000000004</v>
      </c>
      <c r="M90" s="41">
        <v>0</v>
      </c>
      <c r="N90" s="41">
        <v>0</v>
      </c>
      <c r="O90" s="42">
        <f>SUM(G90:N90)</f>
        <v>84.154500000000013</v>
      </c>
      <c r="P90" s="42">
        <f>SUMPRODUCT(G90:N90,$G$2:$N$2)*1000/Assumptions!$C$15</f>
        <v>26.21734363724341</v>
      </c>
      <c r="Q90" s="43">
        <f>IF(ISNUMBER(Finder!$G$5),Finder!$D$8*Assumptions!$C$16*2*ASIN(SQRT(SIN(RADIANS(E90-Finder!$G$5)/2)^2+COS(RADIANS(Finder!$G$5))*COS(RADIANS(E90))*SIN(RADIANS(F90-Finder!$G$6)/2)^2)),"")</f>
        <v>1694.0761611619496</v>
      </c>
      <c r="R90" s="39">
        <f>IF(ISNUMBER(Q90),IF(Q90&lt;=Finder!$D$7,1,0),0)</f>
        <v>0</v>
      </c>
      <c r="S90" s="39" t="str">
        <f>IF(R90=1,O90+ROW()*0.000000001,"")</f>
        <v/>
      </c>
      <c r="T90" s="39" t="str">
        <f>IF(O90&gt;0,INDEX(Calc!$B$4:$B$11,MATCH(MAX(G90:N90),G90:N90,0)),"-")</f>
        <v>Cane Trash</v>
      </c>
    </row>
    <row r="91" spans="1:20">
      <c r="A91" s="39">
        <v>88</v>
      </c>
      <c r="B91" s="39" t="s">
        <v>153</v>
      </c>
      <c r="C91" s="39" t="s">
        <v>154</v>
      </c>
      <c r="D91" s="39" t="str">
        <f>B91&amp;"|"&amp;C91</f>
        <v>Bihar|Araria</v>
      </c>
      <c r="E91" s="40">
        <v>26.15</v>
      </c>
      <c r="F91" s="40">
        <v>87.52</v>
      </c>
      <c r="G91" s="41">
        <v>15.12</v>
      </c>
      <c r="H91" s="41">
        <v>7.65</v>
      </c>
      <c r="I91" s="41">
        <v>518.31100000000004</v>
      </c>
      <c r="J91" s="41">
        <v>0.1072</v>
      </c>
      <c r="K91" s="41">
        <v>0</v>
      </c>
      <c r="L91" s="41">
        <v>0</v>
      </c>
      <c r="M91" s="41">
        <v>0</v>
      </c>
      <c r="N91" s="41">
        <v>0</v>
      </c>
      <c r="O91" s="42">
        <f>SUM(G91:N91)</f>
        <v>541.18820000000005</v>
      </c>
      <c r="P91" s="42">
        <f>SUMPRODUCT(G91:N91,$G$2:$N$2)*1000/Assumptions!$C$15</f>
        <v>160.85564897712612</v>
      </c>
      <c r="Q91" s="43">
        <f>IF(ISNUMBER(Finder!$G$5),Finder!$D$8*Assumptions!$C$16*2*ASIN(SQRT(SIN(RADIANS(E91-Finder!$G$5)/2)^2+COS(RADIANS(Finder!$G$5))*COS(RADIANS(E91))*SIN(RADIANS(F91-Finder!$G$6)/2)^2)),"")</f>
        <v>1208.5219411740802</v>
      </c>
      <c r="R91" s="39">
        <f>IF(ISNUMBER(Q91),IF(Q91&lt;=Finder!$D$7,1,0),0)</f>
        <v>0</v>
      </c>
      <c r="S91" s="39" t="str">
        <f>IF(R91=1,O91+ROW()*0.000000001,"")</f>
        <v/>
      </c>
      <c r="T91" s="39" t="str">
        <f>IF(O91&gt;0,INDEX(Calc!$B$4:$B$11,MATCH(MAX(G91:N91),G91:N91,0)),"-")</f>
        <v>Maize Stover</v>
      </c>
    </row>
    <row r="92" spans="1:20">
      <c r="A92" s="39">
        <v>89</v>
      </c>
      <c r="B92" s="39" t="s">
        <v>153</v>
      </c>
      <c r="C92" s="39" t="s">
        <v>155</v>
      </c>
      <c r="D92" s="39" t="str">
        <f>B92&amp;"|"&amp;C92</f>
        <v>Bihar|Arwal</v>
      </c>
      <c r="E92" s="40">
        <v>25.25</v>
      </c>
      <c r="F92" s="40">
        <v>84.68</v>
      </c>
      <c r="G92" s="41">
        <v>7.56</v>
      </c>
      <c r="H92" s="41">
        <v>5.4</v>
      </c>
      <c r="I92" s="41">
        <v>0.28029999999999999</v>
      </c>
      <c r="J92" s="41">
        <v>0.15010000000000001</v>
      </c>
      <c r="K92" s="41">
        <v>0</v>
      </c>
      <c r="L92" s="41">
        <v>0</v>
      </c>
      <c r="M92" s="41">
        <v>0</v>
      </c>
      <c r="N92" s="41">
        <v>0</v>
      </c>
      <c r="O92" s="42">
        <f>SUM(G92:N92)</f>
        <v>13.390400000000001</v>
      </c>
      <c r="P92" s="42">
        <f>SUMPRODUCT(G92:N92,$G$2:$N$2)*1000/Assumptions!$C$15</f>
        <v>4.8771589630498529</v>
      </c>
      <c r="Q92" s="43">
        <f>IF(ISNUMBER(Finder!$G$5),Finder!$D$8*Assumptions!$C$16*2*ASIN(SQRT(SIN(RADIANS(E92-Finder!$G$5)/2)^2+COS(RADIANS(Finder!$G$5))*COS(RADIANS(E92))*SIN(RADIANS(F92-Finder!$G$6)/2)^2)),"")</f>
        <v>986.10913784241518</v>
      </c>
      <c r="R92" s="39">
        <f>IF(ISNUMBER(Q92),IF(Q92&lt;=Finder!$D$7,1,0),0)</f>
        <v>0</v>
      </c>
      <c r="S92" s="39" t="str">
        <f>IF(R92=1,O92+ROW()*0.000000001,"")</f>
        <v/>
      </c>
      <c r="T92" s="39" t="str">
        <f>IF(O92&gt;0,INDEX(Calc!$B$4:$B$11,MATCH(MAX(G92:N92),G92:N92,0)),"-")</f>
        <v>Paddy Straw</v>
      </c>
    </row>
    <row r="93" spans="1:20">
      <c r="A93" s="39">
        <v>90</v>
      </c>
      <c r="B93" s="39" t="s">
        <v>153</v>
      </c>
      <c r="C93" s="39" t="s">
        <v>156</v>
      </c>
      <c r="D93" s="39" t="str">
        <f>B93&amp;"|"&amp;C93</f>
        <v>Bihar|Aurangabad</v>
      </c>
      <c r="E93" s="40">
        <v>24.75</v>
      </c>
      <c r="F93" s="40">
        <v>84.37</v>
      </c>
      <c r="G93" s="41">
        <v>70.14</v>
      </c>
      <c r="H93" s="41">
        <v>51.3</v>
      </c>
      <c r="I93" s="41">
        <v>0</v>
      </c>
      <c r="J93" s="41">
        <v>2.1505000000000001</v>
      </c>
      <c r="K93" s="41">
        <v>0</v>
      </c>
      <c r="L93" s="41">
        <v>0</v>
      </c>
      <c r="M93" s="41">
        <v>0</v>
      </c>
      <c r="N93" s="41">
        <v>0</v>
      </c>
      <c r="O93" s="42">
        <f>SUM(G93:N93)</f>
        <v>123.59049999999999</v>
      </c>
      <c r="P93" s="42">
        <f>SUMPRODUCT(G93:N93,$G$2:$N$2)*1000/Assumptions!$C$15</f>
        <v>45.146986387096767</v>
      </c>
      <c r="Q93" s="43">
        <f>IF(ISNUMBER(Finder!$G$5),Finder!$D$8*Assumptions!$C$16*2*ASIN(SQRT(SIN(RADIANS(E93-Finder!$G$5)/2)^2+COS(RADIANS(Finder!$G$5))*COS(RADIANS(E93))*SIN(RADIANS(F93-Finder!$G$6)/2)^2)),"")</f>
        <v>986.68613063720386</v>
      </c>
      <c r="R93" s="39">
        <f>IF(ISNUMBER(Q93),IF(Q93&lt;=Finder!$D$7,1,0),0)</f>
        <v>0</v>
      </c>
      <c r="S93" s="39" t="str">
        <f>IF(R93=1,O93+ROW()*0.000000001,"")</f>
        <v/>
      </c>
      <c r="T93" s="39" t="str">
        <f>IF(O93&gt;0,INDEX(Calc!$B$4:$B$11,MATCH(MAX(G93:N93),G93:N93,0)),"-")</f>
        <v>Paddy Straw</v>
      </c>
    </row>
    <row r="94" spans="1:20">
      <c r="A94" s="39">
        <v>91</v>
      </c>
      <c r="B94" s="39" t="s">
        <v>153</v>
      </c>
      <c r="C94" s="39" t="s">
        <v>157</v>
      </c>
      <c r="D94" s="39" t="str">
        <f>B94&amp;"|"&amp;C94</f>
        <v>Bihar|Banka</v>
      </c>
      <c r="E94" s="40">
        <v>24.88</v>
      </c>
      <c r="F94" s="40">
        <v>86.92</v>
      </c>
      <c r="G94" s="41">
        <v>42</v>
      </c>
      <c r="H94" s="41">
        <v>13.05</v>
      </c>
      <c r="I94" s="41">
        <v>10.9168</v>
      </c>
      <c r="J94" s="41">
        <v>0.2928</v>
      </c>
      <c r="K94" s="41">
        <v>2.6505000000000001</v>
      </c>
      <c r="L94" s="41">
        <v>0.30919999999999997</v>
      </c>
      <c r="M94" s="41">
        <v>0</v>
      </c>
      <c r="N94" s="41">
        <v>0</v>
      </c>
      <c r="O94" s="42">
        <f>SUM(G94:N94)</f>
        <v>69.21929999999999</v>
      </c>
      <c r="P94" s="42">
        <f>SUMPRODUCT(G94:N94,$G$2:$N$2)*1000/Assumptions!$C$15</f>
        <v>24.341939117888565</v>
      </c>
      <c r="Q94" s="43">
        <f>IF(ISNUMBER(Finder!$G$5),Finder!$D$8*Assumptions!$C$16*2*ASIN(SQRT(SIN(RADIANS(E94-Finder!$G$5)/2)^2+COS(RADIANS(Finder!$G$5))*COS(RADIANS(E94))*SIN(RADIANS(F94-Finder!$G$6)/2)^2)),"")</f>
        <v>1206.0653621367837</v>
      </c>
      <c r="R94" s="39">
        <f>IF(ISNUMBER(Q94),IF(Q94&lt;=Finder!$D$7,1,0),0)</f>
        <v>0</v>
      </c>
      <c r="S94" s="39" t="str">
        <f>IF(R94=1,O94+ROW()*0.000000001,"")</f>
        <v/>
      </c>
      <c r="T94" s="39" t="str">
        <f>IF(O94&gt;0,INDEX(Calc!$B$4:$B$11,MATCH(MAX(G94:N94),G94:N94,0)),"-")</f>
        <v>Paddy Straw</v>
      </c>
    </row>
    <row r="95" spans="1:20">
      <c r="A95" s="39">
        <v>92</v>
      </c>
      <c r="B95" s="39" t="s">
        <v>153</v>
      </c>
      <c r="C95" s="39" t="s">
        <v>158</v>
      </c>
      <c r="D95" s="39" t="str">
        <f>B95&amp;"|"&amp;C95</f>
        <v>Bihar|Begusarai</v>
      </c>
      <c r="E95" s="40">
        <v>25.42</v>
      </c>
      <c r="F95" s="40">
        <v>86.13</v>
      </c>
      <c r="G95" s="41">
        <v>5.04</v>
      </c>
      <c r="H95" s="41">
        <v>29.25</v>
      </c>
      <c r="I95" s="41">
        <v>309.25650000000002</v>
      </c>
      <c r="J95" s="41">
        <v>10.258100000000001</v>
      </c>
      <c r="K95" s="41">
        <v>67.671199999999999</v>
      </c>
      <c r="L95" s="41">
        <v>7.8949999999999996</v>
      </c>
      <c r="M95" s="41">
        <v>13.582599999999999</v>
      </c>
      <c r="N95" s="41">
        <v>0</v>
      </c>
      <c r="O95" s="42">
        <f>SUM(G95:N95)</f>
        <v>442.95340000000004</v>
      </c>
      <c r="P95" s="42">
        <f>SUMPRODUCT(G95:N95,$G$2:$N$2)*1000/Assumptions!$C$15</f>
        <v>132.95050198181821</v>
      </c>
      <c r="Q95" s="43">
        <f>IF(ISNUMBER(Finder!$G$5),Finder!$D$8*Assumptions!$C$16*2*ASIN(SQRT(SIN(RADIANS(E95-Finder!$G$5)/2)^2+COS(RADIANS(Finder!$G$5))*COS(RADIANS(E95))*SIN(RADIANS(F95-Finder!$G$6)/2)^2)),"")</f>
        <v>1108.62997125161</v>
      </c>
      <c r="R95" s="39">
        <f>IF(ISNUMBER(Q95),IF(Q95&lt;=Finder!$D$7,1,0),0)</f>
        <v>0</v>
      </c>
      <c r="S95" s="39" t="str">
        <f>IF(R95=1,O95+ROW()*0.000000001,"")</f>
        <v/>
      </c>
      <c r="T95" s="39" t="str">
        <f>IF(O95&gt;0,INDEX(Calc!$B$4:$B$11,MATCH(MAX(G95:N95),G95:N95,0)),"-")</f>
        <v>Maize Stover</v>
      </c>
    </row>
    <row r="96" spans="1:20">
      <c r="A96" s="39">
        <v>93</v>
      </c>
      <c r="B96" s="39" t="s">
        <v>153</v>
      </c>
      <c r="C96" s="39" t="s">
        <v>159</v>
      </c>
      <c r="D96" s="39" t="str">
        <f>B96&amp;"|"&amp;C96</f>
        <v>Bihar|Bhagalpur</v>
      </c>
      <c r="E96" s="40">
        <v>25.24</v>
      </c>
      <c r="F96" s="40">
        <v>86.97</v>
      </c>
      <c r="G96" s="41">
        <v>24.36</v>
      </c>
      <c r="H96" s="41">
        <v>20.25</v>
      </c>
      <c r="I96" s="41">
        <v>152.36340000000001</v>
      </c>
      <c r="J96" s="41">
        <v>0.87590000000000001</v>
      </c>
      <c r="K96" s="41">
        <v>10.7294</v>
      </c>
      <c r="L96" s="41">
        <v>1.2518</v>
      </c>
      <c r="M96" s="41">
        <v>0</v>
      </c>
      <c r="N96" s="41">
        <v>0</v>
      </c>
      <c r="O96" s="42">
        <f>SUM(G96:N96)</f>
        <v>209.83050000000003</v>
      </c>
      <c r="P96" s="42">
        <f>SUMPRODUCT(G96:N96,$G$2:$N$2)*1000/Assumptions!$C$15</f>
        <v>64.935685436363627</v>
      </c>
      <c r="Q96" s="43">
        <f>IF(ISNUMBER(Finder!$G$5),Finder!$D$8*Assumptions!$C$16*2*ASIN(SQRT(SIN(RADIANS(E96-Finder!$G$5)/2)^2+COS(RADIANS(Finder!$G$5))*COS(RADIANS(E96))*SIN(RADIANS(F96-Finder!$G$6)/2)^2)),"")</f>
        <v>1193.8768934641532</v>
      </c>
      <c r="R96" s="39">
        <f>IF(ISNUMBER(Q96),IF(Q96&lt;=Finder!$D$7,1,0),0)</f>
        <v>0</v>
      </c>
      <c r="S96" s="39" t="str">
        <f>IF(R96=1,O96+ROW()*0.000000001,"")</f>
        <v/>
      </c>
      <c r="T96" s="39" t="str">
        <f>IF(O96&gt;0,INDEX(Calc!$B$4:$B$11,MATCH(MAX(G96:N96),G96:N96,0)),"-")</f>
        <v>Maize Stover</v>
      </c>
    </row>
    <row r="97" spans="1:20">
      <c r="A97" s="39">
        <v>94</v>
      </c>
      <c r="B97" s="39" t="s">
        <v>153</v>
      </c>
      <c r="C97" s="39" t="s">
        <v>160</v>
      </c>
      <c r="D97" s="39" t="str">
        <f>B97&amp;"|"&amp;C97</f>
        <v>Bihar|Bhojpur</v>
      </c>
      <c r="E97" s="40">
        <v>25.56</v>
      </c>
      <c r="F97" s="40">
        <v>84.66</v>
      </c>
      <c r="G97" s="41">
        <v>42.42</v>
      </c>
      <c r="H97" s="41">
        <v>48.15</v>
      </c>
      <c r="I97" s="41">
        <v>2.7572999999999999</v>
      </c>
      <c r="J97" s="41">
        <v>0.93469999999999998</v>
      </c>
      <c r="K97" s="41">
        <v>1.24E-2</v>
      </c>
      <c r="L97" s="41">
        <v>1.4E-3</v>
      </c>
      <c r="M97" s="41">
        <v>0</v>
      </c>
      <c r="N97" s="41">
        <v>0</v>
      </c>
      <c r="O97" s="42">
        <f>SUM(G97:N97)</f>
        <v>94.275800000000004</v>
      </c>
      <c r="P97" s="42">
        <f>SUMPRODUCT(G97:N97,$G$2:$N$2)*1000/Assumptions!$C$15</f>
        <v>34.288981336656889</v>
      </c>
      <c r="Q97" s="43">
        <f>IF(ISNUMBER(Finder!$G$5),Finder!$D$8*Assumptions!$C$16*2*ASIN(SQRT(SIN(RADIANS(E97-Finder!$G$5)/2)^2+COS(RADIANS(Finder!$G$5))*COS(RADIANS(E97))*SIN(RADIANS(F97-Finder!$G$6)/2)^2)),"")</f>
        <v>968.55931422307458</v>
      </c>
      <c r="R97" s="39">
        <f>IF(ISNUMBER(Q97),IF(Q97&lt;=Finder!$D$7,1,0),0)</f>
        <v>0</v>
      </c>
      <c r="S97" s="39" t="str">
        <f>IF(R97=1,O97+ROW()*0.000000001,"")</f>
        <v/>
      </c>
      <c r="T97" s="39" t="str">
        <f>IF(O97&gt;0,INDEX(Calc!$B$4:$B$11,MATCH(MAX(G97:N97),G97:N97,0)),"-")</f>
        <v>Wheat Straw</v>
      </c>
    </row>
    <row r="98" spans="1:20">
      <c r="A98" s="39">
        <v>95</v>
      </c>
      <c r="B98" s="39" t="s">
        <v>153</v>
      </c>
      <c r="C98" s="39" t="s">
        <v>161</v>
      </c>
      <c r="D98" s="39" t="str">
        <f>B98&amp;"|"&amp;C98</f>
        <v>Bihar|Buxar</v>
      </c>
      <c r="E98" s="40">
        <v>25.56</v>
      </c>
      <c r="F98" s="40">
        <v>83.98</v>
      </c>
      <c r="G98" s="41">
        <v>34.44</v>
      </c>
      <c r="H98" s="41">
        <v>39.15</v>
      </c>
      <c r="I98" s="41">
        <v>2.2532999999999999</v>
      </c>
      <c r="J98" s="41">
        <v>1.2513000000000001</v>
      </c>
      <c r="K98" s="41">
        <v>0.38450000000000001</v>
      </c>
      <c r="L98" s="41">
        <v>4.4900000000000002E-2</v>
      </c>
      <c r="M98" s="41">
        <v>0</v>
      </c>
      <c r="N98" s="41">
        <v>0</v>
      </c>
      <c r="O98" s="42">
        <f>SUM(G98:N98)</f>
        <v>77.524000000000001</v>
      </c>
      <c r="P98" s="42">
        <f>SUMPRODUCT(G98:N98,$G$2:$N$2)*1000/Assumptions!$C$15</f>
        <v>28.131273074193548</v>
      </c>
      <c r="Q98" s="43">
        <f>IF(ISNUMBER(Finder!$G$5),Finder!$D$8*Assumptions!$C$16*2*ASIN(SQRT(SIN(RADIANS(E98-Finder!$G$5)/2)^2+COS(RADIANS(Finder!$G$5))*COS(RADIANS(E98))*SIN(RADIANS(F98-Finder!$G$6)/2)^2)),"")</f>
        <v>907.84704591789455</v>
      </c>
      <c r="R98" s="39">
        <f>IF(ISNUMBER(Q98),IF(Q98&lt;=Finder!$D$7,1,0),0)</f>
        <v>0</v>
      </c>
      <c r="S98" s="39" t="str">
        <f>IF(R98=1,O98+ROW()*0.000000001,"")</f>
        <v/>
      </c>
      <c r="T98" s="39" t="str">
        <f>IF(O98&gt;0,INDEX(Calc!$B$4:$B$11,MATCH(MAX(G98:N98),G98:N98,0)),"-")</f>
        <v>Wheat Straw</v>
      </c>
    </row>
    <row r="99" spans="1:20">
      <c r="A99" s="39">
        <v>96</v>
      </c>
      <c r="B99" s="39" t="s">
        <v>153</v>
      </c>
      <c r="C99" s="39" t="s">
        <v>162</v>
      </c>
      <c r="D99" s="39" t="str">
        <f>B99&amp;"|"&amp;C99</f>
        <v>Bihar|Darbhanga</v>
      </c>
      <c r="E99" s="40">
        <v>26.15</v>
      </c>
      <c r="F99" s="40">
        <v>85.9</v>
      </c>
      <c r="G99" s="41">
        <v>38.64</v>
      </c>
      <c r="H99" s="41">
        <v>23.4</v>
      </c>
      <c r="I99" s="41">
        <v>35.120399999999997</v>
      </c>
      <c r="J99" s="41">
        <v>0.3987</v>
      </c>
      <c r="K99" s="41">
        <v>7.4116999999999997</v>
      </c>
      <c r="L99" s="41">
        <v>0.86470000000000002</v>
      </c>
      <c r="M99" s="41">
        <v>0</v>
      </c>
      <c r="N99" s="41">
        <v>0</v>
      </c>
      <c r="O99" s="42">
        <f>SUM(G99:N99)</f>
        <v>105.8355</v>
      </c>
      <c r="P99" s="42">
        <f>SUMPRODUCT(G99:N99,$G$2:$N$2)*1000/Assumptions!$C$15</f>
        <v>35.610248054252189</v>
      </c>
      <c r="Q99" s="43">
        <f>IF(ISNUMBER(Finder!$G$5),Finder!$D$8*Assumptions!$C$16*2*ASIN(SQRT(SIN(RADIANS(E99-Finder!$G$5)/2)^2+COS(RADIANS(Finder!$G$5))*COS(RADIANS(E99))*SIN(RADIANS(F99-Finder!$G$6)/2)^2)),"")</f>
        <v>1056.2583442015261</v>
      </c>
      <c r="R99" s="39">
        <f>IF(ISNUMBER(Q99),IF(Q99&lt;=Finder!$D$7,1,0),0)</f>
        <v>0</v>
      </c>
      <c r="S99" s="39" t="str">
        <f>IF(R99=1,O99+ROW()*0.000000001,"")</f>
        <v/>
      </c>
      <c r="T99" s="39" t="str">
        <f>IF(O99&gt;0,INDEX(Calc!$B$4:$B$11,MATCH(MAX(G99:N99),G99:N99,0)),"-")</f>
        <v>Paddy Straw</v>
      </c>
    </row>
    <row r="100" spans="1:20">
      <c r="A100" s="39">
        <v>97</v>
      </c>
      <c r="B100" s="39" t="s">
        <v>153</v>
      </c>
      <c r="C100" s="39" t="s">
        <v>163</v>
      </c>
      <c r="D100" s="39" t="str">
        <f>B100&amp;"|"&amp;C100</f>
        <v>Bihar|Gaya</v>
      </c>
      <c r="E100" s="40">
        <v>24.79</v>
      </c>
      <c r="F100" s="40">
        <v>85</v>
      </c>
      <c r="G100" s="41">
        <v>47.46</v>
      </c>
      <c r="H100" s="41">
        <v>27.45</v>
      </c>
      <c r="I100" s="41">
        <v>1.1004</v>
      </c>
      <c r="J100" s="41">
        <v>0.51690000000000003</v>
      </c>
      <c r="K100" s="41">
        <v>0</v>
      </c>
      <c r="L100" s="41">
        <v>0</v>
      </c>
      <c r="M100" s="41">
        <v>0</v>
      </c>
      <c r="N100" s="41">
        <v>0</v>
      </c>
      <c r="O100" s="42">
        <f>SUM(G100:N100)</f>
        <v>76.527299999999997</v>
      </c>
      <c r="P100" s="42">
        <f>SUMPRODUCT(G100:N100,$G$2:$N$2)*1000/Assumptions!$C$15</f>
        <v>27.934359286803517</v>
      </c>
      <c r="Q100" s="43">
        <f>IF(ISNUMBER(Finder!$G$5),Finder!$D$8*Assumptions!$C$16*2*ASIN(SQRT(SIN(RADIANS(E100-Finder!$G$5)/2)^2+COS(RADIANS(Finder!$G$5))*COS(RADIANS(E100))*SIN(RADIANS(F100-Finder!$G$6)/2)^2)),"")</f>
        <v>1039.0945154050157</v>
      </c>
      <c r="R100" s="39">
        <f>IF(ISNUMBER(Q100),IF(Q100&lt;=Finder!$D$7,1,0),0)</f>
        <v>0</v>
      </c>
      <c r="S100" s="39" t="str">
        <f>IF(R100=1,O100+ROW()*0.000000001,"")</f>
        <v/>
      </c>
      <c r="T100" s="39" t="str">
        <f>IF(O100&gt;0,INDEX(Calc!$B$4:$B$11,MATCH(MAX(G100:N100),G100:N100,0)),"-")</f>
        <v>Paddy Straw</v>
      </c>
    </row>
    <row r="101" spans="1:20">
      <c r="A101" s="39">
        <v>98</v>
      </c>
      <c r="B101" s="39" t="s">
        <v>153</v>
      </c>
      <c r="C101" s="39" t="s">
        <v>164</v>
      </c>
      <c r="D101" s="39" t="str">
        <f>B101&amp;"|"&amp;C101</f>
        <v>Bihar|Gopalganj</v>
      </c>
      <c r="E101" s="40">
        <v>26.47</v>
      </c>
      <c r="F101" s="40">
        <v>84.44</v>
      </c>
      <c r="G101" s="41">
        <v>19.739999999999998</v>
      </c>
      <c r="H101" s="41">
        <v>25.2</v>
      </c>
      <c r="I101" s="41">
        <v>29.875599999999999</v>
      </c>
      <c r="J101" s="41">
        <v>1.9931000000000001</v>
      </c>
      <c r="K101" s="41">
        <v>83.977199999999996</v>
      </c>
      <c r="L101" s="41">
        <v>9.7972999999999999</v>
      </c>
      <c r="M101" s="41">
        <v>0</v>
      </c>
      <c r="N101" s="41">
        <v>0</v>
      </c>
      <c r="O101" s="42">
        <f>SUM(G101:N101)</f>
        <v>170.58319999999998</v>
      </c>
      <c r="P101" s="42">
        <f>SUMPRODUCT(G101:N101,$G$2:$N$2)*1000/Assumptions!$C$15</f>
        <v>53.269281166862164</v>
      </c>
      <c r="Q101" s="43">
        <f>IF(ISNUMBER(Finder!$G$5),Finder!$D$8*Assumptions!$C$16*2*ASIN(SQRT(SIN(RADIANS(E101-Finder!$G$5)/2)^2+COS(RADIANS(Finder!$G$5))*COS(RADIANS(E101))*SIN(RADIANS(F101-Finder!$G$6)/2)^2)),"")</f>
        <v>907.6210446538937</v>
      </c>
      <c r="R101" s="39">
        <f>IF(ISNUMBER(Q101),IF(Q101&lt;=Finder!$D$7,1,0),0)</f>
        <v>0</v>
      </c>
      <c r="S101" s="39" t="str">
        <f>IF(R101=1,O101+ROW()*0.000000001,"")</f>
        <v/>
      </c>
      <c r="T101" s="39" t="str">
        <f>IF(O101&gt;0,INDEX(Calc!$B$4:$B$11,MATCH(MAX(G101:N101),G101:N101,0)),"-")</f>
        <v>Cane Trash</v>
      </c>
    </row>
    <row r="102" spans="1:20">
      <c r="A102" s="39">
        <v>99</v>
      </c>
      <c r="B102" s="39" t="s">
        <v>153</v>
      </c>
      <c r="C102" s="39" t="s">
        <v>165</v>
      </c>
      <c r="D102" s="39" t="str">
        <f>B102&amp;"|"&amp;C102</f>
        <v>Bihar|Jamui</v>
      </c>
      <c r="E102" s="40">
        <v>24.92</v>
      </c>
      <c r="F102" s="40">
        <v>86.22</v>
      </c>
      <c r="G102" s="41">
        <v>18.059999999999999</v>
      </c>
      <c r="H102" s="41">
        <v>10.8</v>
      </c>
      <c r="I102" s="41">
        <v>5.9535</v>
      </c>
      <c r="J102" s="41">
        <v>0.79200000000000004</v>
      </c>
      <c r="K102" s="41">
        <v>0</v>
      </c>
      <c r="L102" s="41">
        <v>0</v>
      </c>
      <c r="M102" s="41">
        <v>0</v>
      </c>
      <c r="N102" s="41">
        <v>0</v>
      </c>
      <c r="O102" s="42">
        <f>SUM(G102:N102)</f>
        <v>35.605499999999999</v>
      </c>
      <c r="P102" s="42">
        <f>SUMPRODUCT(G102:N102,$G$2:$N$2)*1000/Assumptions!$C$15</f>
        <v>12.563159173020527</v>
      </c>
      <c r="Q102" s="43">
        <f>IF(ISNUMBER(Finder!$G$5),Finder!$D$8*Assumptions!$C$16*2*ASIN(SQRT(SIN(RADIANS(E102-Finder!$G$5)/2)^2+COS(RADIANS(Finder!$G$5))*COS(RADIANS(E102))*SIN(RADIANS(F102-Finder!$G$6)/2)^2)),"")</f>
        <v>1140.7294547572535</v>
      </c>
      <c r="R102" s="39">
        <f>IF(ISNUMBER(Q102),IF(Q102&lt;=Finder!$D$7,1,0),0)</f>
        <v>0</v>
      </c>
      <c r="S102" s="39" t="str">
        <f>IF(R102=1,O102+ROW()*0.000000001,"")</f>
        <v/>
      </c>
      <c r="T102" s="39" t="str">
        <f>IF(O102&gt;0,INDEX(Calc!$B$4:$B$11,MATCH(MAX(G102:N102),G102:N102,0)),"-")</f>
        <v>Paddy Straw</v>
      </c>
    </row>
    <row r="103" spans="1:20">
      <c r="A103" s="39">
        <v>100</v>
      </c>
      <c r="B103" s="39" t="s">
        <v>153</v>
      </c>
      <c r="C103" s="39" t="s">
        <v>166</v>
      </c>
      <c r="D103" s="39" t="str">
        <f>B103&amp;"|"&amp;C103</f>
        <v>Bihar|Jehanabad</v>
      </c>
      <c r="E103" s="40">
        <v>25.21</v>
      </c>
      <c r="F103" s="40">
        <v>84.99</v>
      </c>
      <c r="G103" s="41">
        <v>18.48</v>
      </c>
      <c r="H103" s="41">
        <v>15.3</v>
      </c>
      <c r="I103" s="41">
        <v>0.9597</v>
      </c>
      <c r="J103" s="41">
        <v>0.1268</v>
      </c>
      <c r="K103" s="41">
        <v>0</v>
      </c>
      <c r="L103" s="41">
        <v>0</v>
      </c>
      <c r="M103" s="41">
        <v>0</v>
      </c>
      <c r="N103" s="41">
        <v>0</v>
      </c>
      <c r="O103" s="42">
        <f>SUM(G103:N103)</f>
        <v>34.866500000000002</v>
      </c>
      <c r="P103" s="42">
        <f>SUMPRODUCT(G103:N103,$G$2:$N$2)*1000/Assumptions!$C$15</f>
        <v>12.701831184750734</v>
      </c>
      <c r="Q103" s="43">
        <f>IF(ISNUMBER(Finder!$G$5),Finder!$D$8*Assumptions!$C$16*2*ASIN(SQRT(SIN(RADIANS(E103-Finder!$G$5)/2)^2+COS(RADIANS(Finder!$G$5))*COS(RADIANS(E103))*SIN(RADIANS(F103-Finder!$G$6)/2)^2)),"")</f>
        <v>1015.7591251165376</v>
      </c>
      <c r="R103" s="39">
        <f>IF(ISNUMBER(Q103),IF(Q103&lt;=Finder!$D$7,1,0),0)</f>
        <v>0</v>
      </c>
      <c r="S103" s="39" t="str">
        <f>IF(R103=1,O103+ROW()*0.000000001,"")</f>
        <v/>
      </c>
      <c r="T103" s="39" t="str">
        <f>IF(O103&gt;0,INDEX(Calc!$B$4:$B$11,MATCH(MAX(G103:N103),G103:N103,0)),"-")</f>
        <v>Paddy Straw</v>
      </c>
    </row>
    <row r="104" spans="1:20">
      <c r="A104" s="39">
        <v>101</v>
      </c>
      <c r="B104" s="39" t="s">
        <v>153</v>
      </c>
      <c r="C104" s="39" t="s">
        <v>167</v>
      </c>
      <c r="D104" s="39" t="str">
        <f>B104&amp;"|"&amp;C104</f>
        <v>Bihar|Kaimur (Bhabua)</v>
      </c>
      <c r="E104" s="40">
        <v>25.04</v>
      </c>
      <c r="F104" s="40">
        <v>83.61</v>
      </c>
      <c r="G104" s="41">
        <v>50.4</v>
      </c>
      <c r="H104" s="41">
        <v>45.9</v>
      </c>
      <c r="I104" s="41">
        <v>4.9299999999999997E-2</v>
      </c>
      <c r="J104" s="41">
        <v>1.5067999999999999</v>
      </c>
      <c r="K104" s="41">
        <v>0.3352</v>
      </c>
      <c r="L104" s="41">
        <v>3.9100000000000003E-2</v>
      </c>
      <c r="M104" s="41">
        <v>0</v>
      </c>
      <c r="N104" s="41">
        <v>0</v>
      </c>
      <c r="O104" s="42">
        <f>SUM(G104:N104)</f>
        <v>98.230400000000003</v>
      </c>
      <c r="P104" s="42">
        <f>SUMPRODUCT(G104:N104,$G$2:$N$2)*1000/Assumptions!$C$15</f>
        <v>35.866403160410556</v>
      </c>
      <c r="Q104" s="43">
        <f>IF(ISNUMBER(Finder!$G$5),Finder!$D$8*Assumptions!$C$16*2*ASIN(SQRT(SIN(RADIANS(E104-Finder!$G$5)/2)^2+COS(RADIANS(Finder!$G$5))*COS(RADIANS(E104))*SIN(RADIANS(F104-Finder!$G$6)/2)^2)),"")</f>
        <v>904.55544985354425</v>
      </c>
      <c r="R104" s="39">
        <f>IF(ISNUMBER(Q104),IF(Q104&lt;=Finder!$D$7,1,0),0)</f>
        <v>0</v>
      </c>
      <c r="S104" s="39" t="str">
        <f>IF(R104=1,O104+ROW()*0.000000001,"")</f>
        <v/>
      </c>
      <c r="T104" s="39" t="str">
        <f>IF(O104&gt;0,INDEX(Calc!$B$4:$B$11,MATCH(MAX(G104:N104),G104:N104,0)),"-")</f>
        <v>Paddy Straw</v>
      </c>
    </row>
    <row r="105" spans="1:20">
      <c r="A105" s="39">
        <v>102</v>
      </c>
      <c r="B105" s="39" t="s">
        <v>153</v>
      </c>
      <c r="C105" s="39" t="s">
        <v>168</v>
      </c>
      <c r="D105" s="39" t="str">
        <f>B105&amp;"|"&amp;C105</f>
        <v>Bihar|Katihar</v>
      </c>
      <c r="E105" s="40">
        <v>25.54</v>
      </c>
      <c r="F105" s="40">
        <v>87.57</v>
      </c>
      <c r="G105" s="41">
        <v>31.5</v>
      </c>
      <c r="H105" s="41">
        <v>7.2</v>
      </c>
      <c r="I105" s="41">
        <v>821.02329999999995</v>
      </c>
      <c r="J105" s="41">
        <v>3.7019000000000002</v>
      </c>
      <c r="K105" s="41">
        <v>0</v>
      </c>
      <c r="L105" s="41">
        <v>0</v>
      </c>
      <c r="M105" s="41">
        <v>0</v>
      </c>
      <c r="N105" s="41">
        <v>0</v>
      </c>
      <c r="O105" s="42">
        <f>SUM(G105:N105)</f>
        <v>863.42520000000002</v>
      </c>
      <c r="P105" s="42">
        <f>SUMPRODUCT(G105:N105,$G$2:$N$2)*1000/Assumptions!$C$15</f>
        <v>256.80480839648089</v>
      </c>
      <c r="Q105" s="43">
        <f>IF(ISNUMBER(Finder!$G$5),Finder!$D$8*Assumptions!$C$16*2*ASIN(SQRT(SIN(RADIANS(E105-Finder!$G$5)/2)^2+COS(RADIANS(Finder!$G$5))*COS(RADIANS(E105))*SIN(RADIANS(F105-Finder!$G$6)/2)^2)),"")</f>
        <v>1236.5943009528723</v>
      </c>
      <c r="R105" s="39">
        <f>IF(ISNUMBER(Q105),IF(Q105&lt;=Finder!$D$7,1,0),0)</f>
        <v>0</v>
      </c>
      <c r="S105" s="39" t="str">
        <f>IF(R105=1,O105+ROW()*0.000000001,"")</f>
        <v/>
      </c>
      <c r="T105" s="39" t="str">
        <f>IF(O105&gt;0,INDEX(Calc!$B$4:$B$11,MATCH(MAX(G105:N105),G105:N105,0)),"-")</f>
        <v>Maize Stover</v>
      </c>
    </row>
    <row r="106" spans="1:20">
      <c r="A106" s="39">
        <v>103</v>
      </c>
      <c r="B106" s="39" t="s">
        <v>153</v>
      </c>
      <c r="C106" s="39" t="s">
        <v>169</v>
      </c>
      <c r="D106" s="39" t="str">
        <f>B106&amp;"|"&amp;C106</f>
        <v>Bihar|Khagaria</v>
      </c>
      <c r="E106" s="40">
        <v>25.5</v>
      </c>
      <c r="F106" s="40">
        <v>86.48</v>
      </c>
      <c r="G106" s="41">
        <v>7.56</v>
      </c>
      <c r="H106" s="41">
        <v>11.7</v>
      </c>
      <c r="I106" s="41">
        <v>352.0104</v>
      </c>
      <c r="J106" s="41">
        <v>2.1052</v>
      </c>
      <c r="K106" s="41">
        <v>2.7E-2</v>
      </c>
      <c r="L106" s="41">
        <v>3.2000000000000002E-3</v>
      </c>
      <c r="M106" s="41">
        <v>0.36749999999999999</v>
      </c>
      <c r="N106" s="41">
        <v>0</v>
      </c>
      <c r="O106" s="42">
        <f>SUM(G106:N106)</f>
        <v>373.77330000000001</v>
      </c>
      <c r="P106" s="42">
        <f>SUMPRODUCT(G106:N106,$G$2:$N$2)*1000/Assumptions!$C$15</f>
        <v>111.35908062521993</v>
      </c>
      <c r="Q106" s="43">
        <f>IF(ISNUMBER(Finder!$G$5),Finder!$D$8*Assumptions!$C$16*2*ASIN(SQRT(SIN(RADIANS(E106-Finder!$G$5)/2)^2+COS(RADIANS(Finder!$G$5))*COS(RADIANS(E106))*SIN(RADIANS(F106-Finder!$G$6)/2)^2)),"")</f>
        <v>1137.1906946841893</v>
      </c>
      <c r="R106" s="39">
        <f>IF(ISNUMBER(Q106),IF(Q106&lt;=Finder!$D$7,1,0),0)</f>
        <v>0</v>
      </c>
      <c r="S106" s="39" t="str">
        <f>IF(R106=1,O106+ROW()*0.000000001,"")</f>
        <v/>
      </c>
      <c r="T106" s="39" t="str">
        <f>IF(O106&gt;0,INDEX(Calc!$B$4:$B$11,MATCH(MAX(G106:N106),G106:N106,0)),"-")</f>
        <v>Maize Stover</v>
      </c>
    </row>
    <row r="107" spans="1:20">
      <c r="A107" s="39">
        <v>104</v>
      </c>
      <c r="B107" s="39" t="s">
        <v>153</v>
      </c>
      <c r="C107" s="39" t="s">
        <v>170</v>
      </c>
      <c r="D107" s="39" t="str">
        <f>B107&amp;"|"&amp;C107</f>
        <v>Bihar|Kishanganj</v>
      </c>
      <c r="E107" s="40">
        <v>26.1</v>
      </c>
      <c r="F107" s="40">
        <v>87.95</v>
      </c>
      <c r="G107" s="41">
        <v>36.119999999999997</v>
      </c>
      <c r="H107" s="41">
        <v>3.15</v>
      </c>
      <c r="I107" s="41">
        <v>205.87350000000001</v>
      </c>
      <c r="J107" s="41">
        <v>0.9849</v>
      </c>
      <c r="K107" s="41">
        <v>0.77200000000000002</v>
      </c>
      <c r="L107" s="41">
        <v>9.01E-2</v>
      </c>
      <c r="M107" s="41">
        <v>0</v>
      </c>
      <c r="N107" s="41">
        <v>0</v>
      </c>
      <c r="O107" s="42">
        <f>SUM(G107:N107)</f>
        <v>246.99050000000003</v>
      </c>
      <c r="P107" s="42">
        <f>SUMPRODUCT(G107:N107,$G$2:$N$2)*1000/Assumptions!$C$15</f>
        <v>75.500651468328428</v>
      </c>
      <c r="Q107" s="43">
        <f>IF(ISNUMBER(Finder!$G$5),Finder!$D$8*Assumptions!$C$16*2*ASIN(SQRT(SIN(RADIANS(E107-Finder!$G$5)/2)^2+COS(RADIANS(Finder!$G$5))*COS(RADIANS(E107))*SIN(RADIANS(F107-Finder!$G$6)/2)^2)),"")</f>
        <v>1250.9812952185864</v>
      </c>
      <c r="R107" s="39">
        <f>IF(ISNUMBER(Q107),IF(Q107&lt;=Finder!$D$7,1,0),0)</f>
        <v>0</v>
      </c>
      <c r="S107" s="39" t="str">
        <f>IF(R107=1,O107+ROW()*0.000000001,"")</f>
        <v/>
      </c>
      <c r="T107" s="39" t="str">
        <f>IF(O107&gt;0,INDEX(Calc!$B$4:$B$11,MATCH(MAX(G107:N107),G107:N107,0)),"-")</f>
        <v>Maize Stover</v>
      </c>
    </row>
    <row r="108" spans="1:20">
      <c r="A108" s="39">
        <v>105</v>
      </c>
      <c r="B108" s="39" t="s">
        <v>153</v>
      </c>
      <c r="C108" s="39" t="s">
        <v>171</v>
      </c>
      <c r="D108" s="39" t="str">
        <f>B108&amp;"|"&amp;C108</f>
        <v>Bihar|Lakhisarai</v>
      </c>
      <c r="E108" s="40">
        <v>25.17</v>
      </c>
      <c r="F108" s="40">
        <v>86.09</v>
      </c>
      <c r="G108" s="41">
        <v>19.739999999999998</v>
      </c>
      <c r="H108" s="41">
        <v>8.5500000000000007</v>
      </c>
      <c r="I108" s="41">
        <v>26.740300000000001</v>
      </c>
      <c r="J108" s="41">
        <v>3.1065999999999998</v>
      </c>
      <c r="K108" s="41">
        <v>0</v>
      </c>
      <c r="L108" s="41">
        <v>0</v>
      </c>
      <c r="M108" s="41">
        <v>0</v>
      </c>
      <c r="N108" s="41">
        <v>0</v>
      </c>
      <c r="O108" s="42">
        <f>SUM(G108:N108)</f>
        <v>58.136899999999997</v>
      </c>
      <c r="P108" s="42">
        <f>SUMPRODUCT(G108:N108,$G$2:$N$2)*1000/Assumptions!$C$15</f>
        <v>19.150235103812314</v>
      </c>
      <c r="Q108" s="43">
        <f>IF(ISNUMBER(Finder!$G$5),Finder!$D$8*Assumptions!$C$16*2*ASIN(SQRT(SIN(RADIANS(E108-Finder!$G$5)/2)^2+COS(RADIANS(Finder!$G$5))*COS(RADIANS(E108))*SIN(RADIANS(F108-Finder!$G$6)/2)^2)),"")</f>
        <v>1116.7196477120328</v>
      </c>
      <c r="R108" s="39">
        <f>IF(ISNUMBER(Q108),IF(Q108&lt;=Finder!$D$7,1,0),0)</f>
        <v>0</v>
      </c>
      <c r="S108" s="39" t="str">
        <f>IF(R108=1,O108+ROW()*0.000000001,"")</f>
        <v/>
      </c>
      <c r="T108" s="39" t="str">
        <f>IF(O108&gt;0,INDEX(Calc!$B$4:$B$11,MATCH(MAX(G108:N108),G108:N108,0)),"-")</f>
        <v>Maize Stover</v>
      </c>
    </row>
    <row r="109" spans="1:20">
      <c r="A109" s="39">
        <v>106</v>
      </c>
      <c r="B109" s="39" t="s">
        <v>153</v>
      </c>
      <c r="C109" s="39" t="s">
        <v>172</v>
      </c>
      <c r="D109" s="39" t="str">
        <f>B109&amp;"|"&amp;C109</f>
        <v>Bihar|Madhepura</v>
      </c>
      <c r="E109" s="40">
        <v>25.92</v>
      </c>
      <c r="F109" s="40">
        <v>86.79</v>
      </c>
      <c r="G109" s="41">
        <v>31.08</v>
      </c>
      <c r="H109" s="41">
        <v>17.100000000000001</v>
      </c>
      <c r="I109" s="41">
        <v>263.57</v>
      </c>
      <c r="J109" s="41">
        <v>0.73440000000000005</v>
      </c>
      <c r="K109" s="41">
        <v>0</v>
      </c>
      <c r="L109" s="41">
        <v>0</v>
      </c>
      <c r="M109" s="41">
        <v>0</v>
      </c>
      <c r="N109" s="41">
        <v>0</v>
      </c>
      <c r="O109" s="42">
        <f>SUM(G109:N109)</f>
        <v>312.48439999999999</v>
      </c>
      <c r="P109" s="42">
        <f>SUMPRODUCT(G109:N109,$G$2:$N$2)*1000/Assumptions!$C$15</f>
        <v>95.414132816422281</v>
      </c>
      <c r="Q109" s="43">
        <f>IF(ISNUMBER(Finder!$G$5),Finder!$D$8*Assumptions!$C$16*2*ASIN(SQRT(SIN(RADIANS(E109-Finder!$G$5)/2)^2+COS(RADIANS(Finder!$G$5))*COS(RADIANS(E109))*SIN(RADIANS(F109-Finder!$G$6)/2)^2)),"")</f>
        <v>1148.4764194013828</v>
      </c>
      <c r="R109" s="39">
        <f>IF(ISNUMBER(Q109),IF(Q109&lt;=Finder!$D$7,1,0),0)</f>
        <v>0</v>
      </c>
      <c r="S109" s="39" t="str">
        <f>IF(R109=1,O109+ROW()*0.000000001,"")</f>
        <v/>
      </c>
      <c r="T109" s="39" t="str">
        <f>IF(O109&gt;0,INDEX(Calc!$B$4:$B$11,MATCH(MAX(G109:N109),G109:N109,0)),"-")</f>
        <v>Maize Stover</v>
      </c>
    </row>
    <row r="110" spans="1:20">
      <c r="A110" s="39">
        <v>107</v>
      </c>
      <c r="B110" s="39" t="s">
        <v>153</v>
      </c>
      <c r="C110" s="39" t="s">
        <v>173</v>
      </c>
      <c r="D110" s="39" t="str">
        <f>B110&amp;"|"&amp;C110</f>
        <v>Bihar|Madhubani</v>
      </c>
      <c r="E110" s="40">
        <v>26.35</v>
      </c>
      <c r="F110" s="40">
        <v>86.07</v>
      </c>
      <c r="G110" s="41">
        <v>68.040000000000006</v>
      </c>
      <c r="H110" s="41">
        <v>38.25</v>
      </c>
      <c r="I110" s="41">
        <v>1.4963</v>
      </c>
      <c r="J110" s="41">
        <v>0.1991</v>
      </c>
      <c r="K110" s="41">
        <v>5.3178999999999998</v>
      </c>
      <c r="L110" s="41">
        <v>0.62039999999999995</v>
      </c>
      <c r="M110" s="41">
        <v>0</v>
      </c>
      <c r="N110" s="41">
        <v>0</v>
      </c>
      <c r="O110" s="42">
        <f>SUM(G110:N110)</f>
        <v>113.92370000000001</v>
      </c>
      <c r="P110" s="42">
        <f>SUMPRODUCT(G110:N110,$G$2:$N$2)*1000/Assumptions!$C$15</f>
        <v>41.196263106158362</v>
      </c>
      <c r="Q110" s="43">
        <f>IF(ISNUMBER(Finder!$G$5),Finder!$D$8*Assumptions!$C$16*2*ASIN(SQRT(SIN(RADIANS(E110-Finder!$G$5)/2)^2+COS(RADIANS(Finder!$G$5))*COS(RADIANS(E110))*SIN(RADIANS(F110-Finder!$G$6)/2)^2)),"")</f>
        <v>1064.5630331007594</v>
      </c>
      <c r="R110" s="39">
        <f>IF(ISNUMBER(Q110),IF(Q110&lt;=Finder!$D$7,1,0),0)</f>
        <v>0</v>
      </c>
      <c r="S110" s="39" t="str">
        <f>IF(R110=1,O110+ROW()*0.000000001,"")</f>
        <v/>
      </c>
      <c r="T110" s="39" t="str">
        <f>IF(O110&gt;0,INDEX(Calc!$B$4:$B$11,MATCH(MAX(G110:N110),G110:N110,0)),"-")</f>
        <v>Paddy Straw</v>
      </c>
    </row>
    <row r="111" spans="1:20">
      <c r="A111" s="39">
        <v>108</v>
      </c>
      <c r="B111" s="39" t="s">
        <v>153</v>
      </c>
      <c r="C111" s="39" t="s">
        <v>174</v>
      </c>
      <c r="D111" s="39" t="str">
        <f>B111&amp;"|"&amp;C111</f>
        <v>Bihar|Munger</v>
      </c>
      <c r="E111" s="40">
        <v>25.37</v>
      </c>
      <c r="F111" s="40">
        <v>86.47</v>
      </c>
      <c r="G111" s="41">
        <v>10.5</v>
      </c>
      <c r="H111" s="41">
        <v>6.75</v>
      </c>
      <c r="I111" s="41">
        <v>8.5165000000000006</v>
      </c>
      <c r="J111" s="41">
        <v>0.32769999999999999</v>
      </c>
      <c r="K111" s="41">
        <v>0.60729999999999995</v>
      </c>
      <c r="L111" s="41">
        <v>7.0900000000000005E-2</v>
      </c>
      <c r="M111" s="41">
        <v>0</v>
      </c>
      <c r="N111" s="41">
        <v>0</v>
      </c>
      <c r="O111" s="42">
        <f>SUM(G111:N111)</f>
        <v>26.772400000000001</v>
      </c>
      <c r="P111" s="42">
        <f>SUMPRODUCT(G111:N111,$G$2:$N$2)*1000/Assumptions!$C$15</f>
        <v>9.1231716043988271</v>
      </c>
      <c r="Q111" s="43">
        <f>IF(ISNUMBER(Finder!$G$5),Finder!$D$8*Assumptions!$C$16*2*ASIN(SQRT(SIN(RADIANS(E111-Finder!$G$5)/2)^2+COS(RADIANS(Finder!$G$5))*COS(RADIANS(E111))*SIN(RADIANS(F111-Finder!$G$6)/2)^2)),"")</f>
        <v>1142.0702755803911</v>
      </c>
      <c r="R111" s="39">
        <f>IF(ISNUMBER(Q111),IF(Q111&lt;=Finder!$D$7,1,0),0)</f>
        <v>0</v>
      </c>
      <c r="S111" s="39" t="str">
        <f>IF(R111=1,O111+ROW()*0.000000001,"")</f>
        <v/>
      </c>
      <c r="T111" s="39" t="str">
        <f>IF(O111&gt;0,INDEX(Calc!$B$4:$B$11,MATCH(MAX(G111:N111),G111:N111,0)),"-")</f>
        <v>Paddy Straw</v>
      </c>
    </row>
    <row r="112" spans="1:20">
      <c r="A112" s="39">
        <v>109</v>
      </c>
      <c r="B112" s="39" t="s">
        <v>153</v>
      </c>
      <c r="C112" s="39" t="s">
        <v>175</v>
      </c>
      <c r="D112" s="39" t="str">
        <f>B112&amp;"|"&amp;C112</f>
        <v>Bihar|Muzaffarpur</v>
      </c>
      <c r="E112" s="40">
        <v>26.12</v>
      </c>
      <c r="F112" s="40">
        <v>85.39</v>
      </c>
      <c r="G112" s="41">
        <v>55.86</v>
      </c>
      <c r="H112" s="41">
        <v>54.45</v>
      </c>
      <c r="I112" s="41">
        <v>164.1728</v>
      </c>
      <c r="J112" s="41">
        <v>2.7121</v>
      </c>
      <c r="K112" s="41">
        <v>6.9851000000000001</v>
      </c>
      <c r="L112" s="41">
        <v>0.81489999999999996</v>
      </c>
      <c r="M112" s="41">
        <v>0</v>
      </c>
      <c r="N112" s="41">
        <v>0</v>
      </c>
      <c r="O112" s="42">
        <f>SUM(G112:N112)</f>
        <v>284.99490000000003</v>
      </c>
      <c r="P112" s="42">
        <f>SUMPRODUCT(G112:N112,$G$2:$N$2)*1000/Assumptions!$C$15</f>
        <v>91.809950080645152</v>
      </c>
      <c r="Q112" s="43">
        <f>IF(ISNUMBER(Finder!$G$5),Finder!$D$8*Assumptions!$C$16*2*ASIN(SQRT(SIN(RADIANS(E112-Finder!$G$5)/2)^2+COS(RADIANS(Finder!$G$5))*COS(RADIANS(E112))*SIN(RADIANS(F112-Finder!$G$6)/2)^2)),"")</f>
        <v>1009.9969111467886</v>
      </c>
      <c r="R112" s="39">
        <f>IF(ISNUMBER(Q112),IF(Q112&lt;=Finder!$D$7,1,0),0)</f>
        <v>0</v>
      </c>
      <c r="S112" s="39" t="str">
        <f>IF(R112=1,O112+ROW()*0.000000001,"")</f>
        <v/>
      </c>
      <c r="T112" s="39" t="str">
        <f>IF(O112&gt;0,INDEX(Calc!$B$4:$B$11,MATCH(MAX(G112:N112),G112:N112,0)),"-")</f>
        <v>Maize Stover</v>
      </c>
    </row>
    <row r="113" spans="1:20">
      <c r="A113" s="39">
        <v>110</v>
      </c>
      <c r="B113" s="39" t="s">
        <v>153</v>
      </c>
      <c r="C113" s="39" t="s">
        <v>176</v>
      </c>
      <c r="D113" s="39" t="str">
        <f>B113&amp;"|"&amp;C113</f>
        <v>Bihar|Nalanda</v>
      </c>
      <c r="E113" s="40">
        <v>25.2</v>
      </c>
      <c r="F113" s="40">
        <v>85.52</v>
      </c>
      <c r="G113" s="41">
        <v>44.52</v>
      </c>
      <c r="H113" s="41">
        <v>36.450000000000003</v>
      </c>
      <c r="I113" s="41">
        <v>29.493400000000001</v>
      </c>
      <c r="J113" s="41">
        <v>2.262</v>
      </c>
      <c r="K113" s="41">
        <v>0.106</v>
      </c>
      <c r="L113" s="41">
        <v>1.24E-2</v>
      </c>
      <c r="M113" s="41">
        <v>0</v>
      </c>
      <c r="N113" s="41">
        <v>0</v>
      </c>
      <c r="O113" s="42">
        <f>SUM(G113:N113)</f>
        <v>112.8438</v>
      </c>
      <c r="P113" s="42">
        <f>SUMPRODUCT(G113:N113,$G$2:$N$2)*1000/Assumptions!$C$15</f>
        <v>39.056375336070381</v>
      </c>
      <c r="Q113" s="43">
        <f>IF(ISNUMBER(Finder!$G$5),Finder!$D$8*Assumptions!$C$16*2*ASIN(SQRT(SIN(RADIANS(E113-Finder!$G$5)/2)^2+COS(RADIANS(Finder!$G$5))*COS(RADIANS(E113))*SIN(RADIANS(F113-Finder!$G$6)/2)^2)),"")</f>
        <v>1063.7433829567869</v>
      </c>
      <c r="R113" s="39">
        <f>IF(ISNUMBER(Q113),IF(Q113&lt;=Finder!$D$7,1,0),0)</f>
        <v>0</v>
      </c>
      <c r="S113" s="39" t="str">
        <f>IF(R113=1,O113+ROW()*0.000000001,"")</f>
        <v/>
      </c>
      <c r="T113" s="39" t="str">
        <f>IF(O113&gt;0,INDEX(Calc!$B$4:$B$11,MATCH(MAX(G113:N113),G113:N113,0)),"-")</f>
        <v>Paddy Straw</v>
      </c>
    </row>
    <row r="114" spans="1:20">
      <c r="A114" s="39">
        <v>111</v>
      </c>
      <c r="B114" s="39" t="s">
        <v>153</v>
      </c>
      <c r="C114" s="39" t="s">
        <v>177</v>
      </c>
      <c r="D114" s="39" t="str">
        <f>B114&amp;"|"&amp;C114</f>
        <v>Bihar|Nawada</v>
      </c>
      <c r="E114" s="40">
        <v>24.89</v>
      </c>
      <c r="F114" s="40">
        <v>85.54</v>
      </c>
      <c r="G114" s="41">
        <v>42</v>
      </c>
      <c r="H114" s="41">
        <v>34.65</v>
      </c>
      <c r="I114" s="41">
        <v>2.6187</v>
      </c>
      <c r="J114" s="41">
        <v>0.22420000000000001</v>
      </c>
      <c r="K114" s="41">
        <v>0</v>
      </c>
      <c r="L114" s="41">
        <v>0</v>
      </c>
      <c r="M114" s="41">
        <v>0</v>
      </c>
      <c r="N114" s="41">
        <v>0</v>
      </c>
      <c r="O114" s="42">
        <f>SUM(G114:N114)</f>
        <v>79.492900000000006</v>
      </c>
      <c r="P114" s="42">
        <f>SUMPRODUCT(G114:N114,$G$2:$N$2)*1000/Assumptions!$C$15</f>
        <v>28.932712921994131</v>
      </c>
      <c r="Q114" s="43">
        <f>IF(ISNUMBER(Finder!$G$5),Finder!$D$8*Assumptions!$C$16*2*ASIN(SQRT(SIN(RADIANS(E114-Finder!$G$5)/2)^2+COS(RADIANS(Finder!$G$5))*COS(RADIANS(E114))*SIN(RADIANS(F114-Finder!$G$6)/2)^2)),"")</f>
        <v>1081.3715035629841</v>
      </c>
      <c r="R114" s="39">
        <f>IF(ISNUMBER(Q114),IF(Q114&lt;=Finder!$D$7,1,0),0)</f>
        <v>0</v>
      </c>
      <c r="S114" s="39" t="str">
        <f>IF(R114=1,O114+ROW()*0.000000001,"")</f>
        <v/>
      </c>
      <c r="T114" s="39" t="str">
        <f>IF(O114&gt;0,INDEX(Calc!$B$4:$B$11,MATCH(MAX(G114:N114),G114:N114,0)),"-")</f>
        <v>Paddy Straw</v>
      </c>
    </row>
    <row r="115" spans="1:20">
      <c r="A115" s="39">
        <v>112</v>
      </c>
      <c r="B115" s="39" t="s">
        <v>153</v>
      </c>
      <c r="C115" s="39" t="s">
        <v>178</v>
      </c>
      <c r="D115" s="39" t="str">
        <f>B115&amp;"|"&amp;C115</f>
        <v>Bihar|Pashchim Champaran</v>
      </c>
      <c r="E115" s="40">
        <v>26.8</v>
      </c>
      <c r="F115" s="40">
        <v>84.5</v>
      </c>
      <c r="G115" s="41">
        <v>47.88</v>
      </c>
      <c r="H115" s="41">
        <v>31.5</v>
      </c>
      <c r="I115" s="41">
        <v>14.4596</v>
      </c>
      <c r="J115" s="41">
        <v>3.3473000000000002</v>
      </c>
      <c r="K115" s="41">
        <v>1753.7521999999999</v>
      </c>
      <c r="L115" s="41">
        <v>204.6044</v>
      </c>
      <c r="M115" s="41">
        <v>0</v>
      </c>
      <c r="N115" s="41">
        <v>0</v>
      </c>
      <c r="O115" s="42">
        <f>SUM(G115:N115)</f>
        <v>2055.5434999999998</v>
      </c>
      <c r="P115" s="42">
        <f>SUMPRODUCT(G115:N115,$G$2:$N$2)*1000/Assumptions!$C$15</f>
        <v>606.98972017126096</v>
      </c>
      <c r="Q115" s="43">
        <f>IF(ISNUMBER(Finder!$G$5),Finder!$D$8*Assumptions!$C$16*2*ASIN(SQRT(SIN(RADIANS(E115-Finder!$G$5)/2)^2+COS(RADIANS(Finder!$G$5))*COS(RADIANS(E115))*SIN(RADIANS(F115-Finder!$G$6)/2)^2)),"")</f>
        <v>900.65637150070165</v>
      </c>
      <c r="R115" s="39">
        <f>IF(ISNUMBER(Q115),IF(Q115&lt;=Finder!$D$7,1,0),0)</f>
        <v>0</v>
      </c>
      <c r="S115" s="39" t="str">
        <f>IF(R115=1,O115+ROW()*0.000000001,"")</f>
        <v/>
      </c>
      <c r="T115" s="39" t="str">
        <f>IF(O115&gt;0,INDEX(Calc!$B$4:$B$11,MATCH(MAX(G115:N115),G115:N115,0)),"-")</f>
        <v>Cane Trash</v>
      </c>
    </row>
    <row r="116" spans="1:20">
      <c r="A116" s="39">
        <v>113</v>
      </c>
      <c r="B116" s="39" t="s">
        <v>153</v>
      </c>
      <c r="C116" s="39" t="s">
        <v>179</v>
      </c>
      <c r="D116" s="39" t="str">
        <f>B116&amp;"|"&amp;C116</f>
        <v>Bihar|Patna</v>
      </c>
      <c r="E116" s="40">
        <v>25.59</v>
      </c>
      <c r="F116" s="40">
        <v>85.14</v>
      </c>
      <c r="G116" s="41">
        <v>38.22</v>
      </c>
      <c r="H116" s="41">
        <v>40.950000000000003</v>
      </c>
      <c r="I116" s="41">
        <v>19.912199999999999</v>
      </c>
      <c r="J116" s="41">
        <v>2.2012999999999998</v>
      </c>
      <c r="K116" s="41">
        <v>0.46389999999999998</v>
      </c>
      <c r="L116" s="41">
        <v>5.4100000000000002E-2</v>
      </c>
      <c r="M116" s="41">
        <v>0</v>
      </c>
      <c r="N116" s="41">
        <v>0</v>
      </c>
      <c r="O116" s="42">
        <f>SUM(G116:N116)</f>
        <v>101.8015</v>
      </c>
      <c r="P116" s="42">
        <f>SUMPRODUCT(G116:N116,$G$2:$N$2)*1000/Assumptions!$C$15</f>
        <v>35.676964867741937</v>
      </c>
      <c r="Q116" s="43">
        <f>IF(ISNUMBER(Finder!$G$5),Finder!$D$8*Assumptions!$C$16*2*ASIN(SQRT(SIN(RADIANS(E116-Finder!$G$5)/2)^2+COS(RADIANS(Finder!$G$5))*COS(RADIANS(E116))*SIN(RADIANS(F116-Finder!$G$6)/2)^2)),"")</f>
        <v>1010.4737059866866</v>
      </c>
      <c r="R116" s="39">
        <f>IF(ISNUMBER(Q116),IF(Q116&lt;=Finder!$D$7,1,0),0)</f>
        <v>0</v>
      </c>
      <c r="S116" s="39" t="str">
        <f>IF(R116=1,O116+ROW()*0.000000001,"")</f>
        <v/>
      </c>
      <c r="T116" s="39" t="str">
        <f>IF(O116&gt;0,INDEX(Calc!$B$4:$B$11,MATCH(MAX(G116:N116),G116:N116,0)),"-")</f>
        <v>Wheat Straw</v>
      </c>
    </row>
    <row r="117" spans="1:20">
      <c r="A117" s="39">
        <v>114</v>
      </c>
      <c r="B117" s="39" t="s">
        <v>153</v>
      </c>
      <c r="C117" s="39" t="s">
        <v>180</v>
      </c>
      <c r="D117" s="39" t="str">
        <f>B117&amp;"|"&amp;C117</f>
        <v>Bihar|Purbi Champaran</v>
      </c>
      <c r="E117" s="40">
        <v>26.65</v>
      </c>
      <c r="F117" s="40">
        <v>84.92</v>
      </c>
      <c r="G117" s="41">
        <v>88.62</v>
      </c>
      <c r="H117" s="41">
        <v>54.45</v>
      </c>
      <c r="I117" s="41">
        <v>142.16059999999999</v>
      </c>
      <c r="J117" s="41">
        <v>1.4864999999999999</v>
      </c>
      <c r="K117" s="41">
        <v>293.06119999999999</v>
      </c>
      <c r="L117" s="41">
        <v>34.1905</v>
      </c>
      <c r="M117" s="41">
        <v>0</v>
      </c>
      <c r="N117" s="41">
        <v>0</v>
      </c>
      <c r="O117" s="42">
        <f>SUM(G117:N117)</f>
        <v>613.96879999999999</v>
      </c>
      <c r="P117" s="42">
        <f>SUMPRODUCT(G117:N117,$G$2:$N$2)*1000/Assumptions!$C$15</f>
        <v>190.39480508475069</v>
      </c>
      <c r="Q117" s="43">
        <f>IF(ISNUMBER(Finder!$G$5),Finder!$D$8*Assumptions!$C$16*2*ASIN(SQRT(SIN(RADIANS(E117-Finder!$G$5)/2)^2+COS(RADIANS(Finder!$G$5))*COS(RADIANS(E117))*SIN(RADIANS(F117-Finder!$G$6)/2)^2)),"")</f>
        <v>945.52892411720825</v>
      </c>
      <c r="R117" s="39">
        <f>IF(ISNUMBER(Q117),IF(Q117&lt;=Finder!$D$7,1,0),0)</f>
        <v>0</v>
      </c>
      <c r="S117" s="39" t="str">
        <f>IF(R117=1,O117+ROW()*0.000000001,"")</f>
        <v/>
      </c>
      <c r="T117" s="39" t="str">
        <f>IF(O117&gt;0,INDEX(Calc!$B$4:$B$11,MATCH(MAX(G117:N117),G117:N117,0)),"-")</f>
        <v>Cane Trash</v>
      </c>
    </row>
    <row r="118" spans="1:20">
      <c r="A118" s="39">
        <v>115</v>
      </c>
      <c r="B118" s="39" t="s">
        <v>153</v>
      </c>
      <c r="C118" s="39" t="s">
        <v>181</v>
      </c>
      <c r="D118" s="39" t="str">
        <f>B118&amp;"|"&amp;C118</f>
        <v>Bihar|Purnia</v>
      </c>
      <c r="E118" s="40">
        <v>25.78</v>
      </c>
      <c r="F118" s="40">
        <v>87.47</v>
      </c>
      <c r="G118" s="41">
        <v>55.86</v>
      </c>
      <c r="H118" s="41">
        <v>7.2</v>
      </c>
      <c r="I118" s="41">
        <v>485.94729999999998</v>
      </c>
      <c r="J118" s="41">
        <v>0.2928</v>
      </c>
      <c r="K118" s="41">
        <v>0.1366</v>
      </c>
      <c r="L118" s="41">
        <v>1.5900000000000001E-2</v>
      </c>
      <c r="M118" s="41">
        <v>0</v>
      </c>
      <c r="N118" s="41">
        <v>0</v>
      </c>
      <c r="O118" s="42">
        <f>SUM(G118:N118)</f>
        <v>549.45260000000007</v>
      </c>
      <c r="P118" s="42">
        <f>SUMPRODUCT(G118:N118,$G$2:$N$2)*1000/Assumptions!$C$15</f>
        <v>166.20250759442814</v>
      </c>
      <c r="Q118" s="43">
        <f>IF(ISNUMBER(Finder!$G$5),Finder!$D$8*Assumptions!$C$16*2*ASIN(SQRT(SIN(RADIANS(E118-Finder!$G$5)/2)^2+COS(RADIANS(Finder!$G$5))*COS(RADIANS(E118))*SIN(RADIANS(F118-Finder!$G$6)/2)^2)),"")</f>
        <v>1217.6420186512828</v>
      </c>
      <c r="R118" s="39">
        <f>IF(ISNUMBER(Q118),IF(Q118&lt;=Finder!$D$7,1,0),0)</f>
        <v>0</v>
      </c>
      <c r="S118" s="39" t="str">
        <f>IF(R118=1,O118+ROW()*0.000000001,"")</f>
        <v/>
      </c>
      <c r="T118" s="39" t="str">
        <f>IF(O118&gt;0,INDEX(Calc!$B$4:$B$11,MATCH(MAX(G118:N118),G118:N118,0)),"-")</f>
        <v>Maize Stover</v>
      </c>
    </row>
    <row r="119" spans="1:20">
      <c r="A119" s="39">
        <v>116</v>
      </c>
      <c r="B119" s="39" t="s">
        <v>153</v>
      </c>
      <c r="C119" s="39" t="s">
        <v>182</v>
      </c>
      <c r="D119" s="39" t="str">
        <f>B119&amp;"|"&amp;C119</f>
        <v>Bihar|Rohtas</v>
      </c>
      <c r="E119" s="40">
        <v>24.95</v>
      </c>
      <c r="F119" s="40">
        <v>84.03</v>
      </c>
      <c r="G119" s="41">
        <v>98.28</v>
      </c>
      <c r="H119" s="41">
        <v>98.1</v>
      </c>
      <c r="I119" s="41">
        <v>0</v>
      </c>
      <c r="J119" s="41">
        <v>3.2995000000000001</v>
      </c>
      <c r="K119" s="41">
        <v>0</v>
      </c>
      <c r="L119" s="41">
        <v>0</v>
      </c>
      <c r="M119" s="41">
        <v>0</v>
      </c>
      <c r="N119" s="41">
        <v>0</v>
      </c>
      <c r="O119" s="42">
        <f>SUM(G119:N119)</f>
        <v>199.67949999999999</v>
      </c>
      <c r="P119" s="42">
        <f>SUMPRODUCT(G119:N119,$G$2:$N$2)*1000/Assumptions!$C$15</f>
        <v>72.954576956011721</v>
      </c>
      <c r="Q119" s="43">
        <f>IF(ISNUMBER(Finder!$G$5),Finder!$D$8*Assumptions!$C$16*2*ASIN(SQRT(SIN(RADIANS(E119-Finder!$G$5)/2)^2+COS(RADIANS(Finder!$G$5))*COS(RADIANS(E119))*SIN(RADIANS(F119-Finder!$G$6)/2)^2)),"")</f>
        <v>945.81540910944227</v>
      </c>
      <c r="R119" s="39">
        <f>IF(ISNUMBER(Q119),IF(Q119&lt;=Finder!$D$7,1,0),0)</f>
        <v>0</v>
      </c>
      <c r="S119" s="39" t="str">
        <f>IF(R119=1,O119+ROW()*0.000000001,"")</f>
        <v/>
      </c>
      <c r="T119" s="39" t="str">
        <f>IF(O119&gt;0,INDEX(Calc!$B$4:$B$11,MATCH(MAX(G119:N119),G119:N119,0)),"-")</f>
        <v>Paddy Straw</v>
      </c>
    </row>
    <row r="120" spans="1:20">
      <c r="A120" s="39">
        <v>117</v>
      </c>
      <c r="B120" s="39" t="s">
        <v>153</v>
      </c>
      <c r="C120" s="39" t="s">
        <v>183</v>
      </c>
      <c r="D120" s="39" t="str">
        <f>B120&amp;"|"&amp;C120</f>
        <v>Bihar|Saharsa</v>
      </c>
      <c r="E120" s="40">
        <v>25.88</v>
      </c>
      <c r="F120" s="40">
        <v>86.6</v>
      </c>
      <c r="G120" s="41">
        <v>29.82</v>
      </c>
      <c r="H120" s="41">
        <v>18.899999999999999</v>
      </c>
      <c r="I120" s="41">
        <v>169.11189999999999</v>
      </c>
      <c r="J120" s="41">
        <v>0.58550000000000002</v>
      </c>
      <c r="K120" s="41">
        <v>1.3636999999999999</v>
      </c>
      <c r="L120" s="41">
        <v>0.15909999999999999</v>
      </c>
      <c r="M120" s="41">
        <v>0</v>
      </c>
      <c r="N120" s="41">
        <v>0</v>
      </c>
      <c r="O120" s="42">
        <f>SUM(G120:N120)</f>
        <v>219.94019999999998</v>
      </c>
      <c r="P120" s="42">
        <f>SUMPRODUCT(G120:N120,$G$2:$N$2)*1000/Assumptions!$C$15</f>
        <v>68.225703145161276</v>
      </c>
      <c r="Q120" s="43">
        <f>IF(ISNUMBER(Finder!$G$5),Finder!$D$8*Assumptions!$C$16*2*ASIN(SQRT(SIN(RADIANS(E120-Finder!$G$5)/2)^2+COS(RADIANS(Finder!$G$5))*COS(RADIANS(E120))*SIN(RADIANS(F120-Finder!$G$6)/2)^2)),"")</f>
        <v>1132.3189624818606</v>
      </c>
      <c r="R120" s="39">
        <f>IF(ISNUMBER(Q120),IF(Q120&lt;=Finder!$D$7,1,0),0)</f>
        <v>0</v>
      </c>
      <c r="S120" s="39" t="str">
        <f>IF(R120=1,O120+ROW()*0.000000001,"")</f>
        <v/>
      </c>
      <c r="T120" s="39" t="str">
        <f>IF(O120&gt;0,INDEX(Calc!$B$4:$B$11,MATCH(MAX(G120:N120),G120:N120,0)),"-")</f>
        <v>Maize Stover</v>
      </c>
    </row>
    <row r="121" spans="1:20">
      <c r="A121" s="39">
        <v>118</v>
      </c>
      <c r="B121" s="39" t="s">
        <v>153</v>
      </c>
      <c r="C121" s="39" t="s">
        <v>184</v>
      </c>
      <c r="D121" s="39" t="str">
        <f>B121&amp;"|"&amp;C121</f>
        <v>Bihar|Samastipur</v>
      </c>
      <c r="E121" s="40">
        <v>25.86</v>
      </c>
      <c r="F121" s="40">
        <v>85.78</v>
      </c>
      <c r="G121" s="41">
        <v>34.020000000000003</v>
      </c>
      <c r="H121" s="41">
        <v>22.5</v>
      </c>
      <c r="I121" s="41">
        <v>344.53019999999998</v>
      </c>
      <c r="J121" s="41">
        <v>5.8205999999999998</v>
      </c>
      <c r="K121" s="41">
        <v>58.910800000000002</v>
      </c>
      <c r="L121" s="41">
        <v>6.8728999999999996</v>
      </c>
      <c r="M121" s="41">
        <v>1.2355</v>
      </c>
      <c r="N121" s="41">
        <v>0</v>
      </c>
      <c r="O121" s="42">
        <f>SUM(G121:N121)</f>
        <v>473.89</v>
      </c>
      <c r="P121" s="42">
        <f>SUMPRODUCT(G121:N121,$G$2:$N$2)*1000/Assumptions!$C$15</f>
        <v>143.41082869413489</v>
      </c>
      <c r="Q121" s="43">
        <f>IF(ISNUMBER(Finder!$G$5),Finder!$D$8*Assumptions!$C$16*2*ASIN(SQRT(SIN(RADIANS(E121-Finder!$G$5)/2)^2+COS(RADIANS(Finder!$G$5))*COS(RADIANS(E121))*SIN(RADIANS(F121-Finder!$G$6)/2)^2)),"")</f>
        <v>1056.9909507698803</v>
      </c>
      <c r="R121" s="39">
        <f>IF(ISNUMBER(Q121),IF(Q121&lt;=Finder!$D$7,1,0),0)</f>
        <v>0</v>
      </c>
      <c r="S121" s="39" t="str">
        <f>IF(R121=1,O121+ROW()*0.000000001,"")</f>
        <v/>
      </c>
      <c r="T121" s="39" t="str">
        <f>IF(O121&gt;0,INDEX(Calc!$B$4:$B$11,MATCH(MAX(G121:N121),G121:N121,0)),"-")</f>
        <v>Maize Stover</v>
      </c>
    </row>
    <row r="122" spans="1:20">
      <c r="A122" s="39">
        <v>119</v>
      </c>
      <c r="B122" s="39" t="s">
        <v>153</v>
      </c>
      <c r="C122" s="39" t="s">
        <v>185</v>
      </c>
      <c r="D122" s="39" t="str">
        <f>B122&amp;"|"&amp;C122</f>
        <v>Bihar|Saran</v>
      </c>
      <c r="E122" s="40">
        <v>25.78</v>
      </c>
      <c r="F122" s="40">
        <v>84.73</v>
      </c>
      <c r="G122" s="41">
        <v>25.2</v>
      </c>
      <c r="H122" s="41">
        <v>38.25</v>
      </c>
      <c r="I122" s="41">
        <v>82.602400000000003</v>
      </c>
      <c r="J122" s="41">
        <v>3.6063999999999998</v>
      </c>
      <c r="K122" s="41">
        <v>2.5438999999999998</v>
      </c>
      <c r="L122" s="41">
        <v>0.29680000000000001</v>
      </c>
      <c r="M122" s="41">
        <v>0</v>
      </c>
      <c r="N122" s="41">
        <v>0</v>
      </c>
      <c r="O122" s="42">
        <f>SUM(G122:N122)</f>
        <v>152.49950000000001</v>
      </c>
      <c r="P122" s="42">
        <f>SUMPRODUCT(G122:N122,$G$2:$N$2)*1000/Assumptions!$C$15</f>
        <v>49.449592019941349</v>
      </c>
      <c r="Q122" s="43">
        <f>IF(ISNUMBER(Finder!$G$5),Finder!$D$8*Assumptions!$C$16*2*ASIN(SQRT(SIN(RADIANS(E122-Finder!$G$5)/2)^2+COS(RADIANS(Finder!$G$5))*COS(RADIANS(E122))*SIN(RADIANS(F122-Finder!$G$6)/2)^2)),"")</f>
        <v>964.30817963756829</v>
      </c>
      <c r="R122" s="39">
        <f>IF(ISNUMBER(Q122),IF(Q122&lt;=Finder!$D$7,1,0),0)</f>
        <v>0</v>
      </c>
      <c r="S122" s="39" t="str">
        <f>IF(R122=1,O122+ROW()*0.000000001,"")</f>
        <v/>
      </c>
      <c r="T122" s="39" t="str">
        <f>IF(O122&gt;0,INDEX(Calc!$B$4:$B$11,MATCH(MAX(G122:N122),G122:N122,0)),"-")</f>
        <v>Maize Stover</v>
      </c>
    </row>
    <row r="123" spans="1:20">
      <c r="A123" s="39">
        <v>120</v>
      </c>
      <c r="B123" s="39" t="s">
        <v>153</v>
      </c>
      <c r="C123" s="39" t="s">
        <v>186</v>
      </c>
      <c r="D123" s="39" t="str">
        <f>B123&amp;"|"&amp;C123</f>
        <v>Bihar|Sheikhpura</v>
      </c>
      <c r="E123" s="40">
        <v>25.14</v>
      </c>
      <c r="F123" s="40">
        <v>85.85</v>
      </c>
      <c r="G123" s="41">
        <v>10.08</v>
      </c>
      <c r="H123" s="41">
        <v>9.9</v>
      </c>
      <c r="I123" s="41">
        <v>1.5403</v>
      </c>
      <c r="J123" s="41">
        <v>0.44650000000000001</v>
      </c>
      <c r="K123" s="41">
        <v>0.26910000000000001</v>
      </c>
      <c r="L123" s="41">
        <v>3.1399999999999997E-2</v>
      </c>
      <c r="M123" s="41">
        <v>0</v>
      </c>
      <c r="N123" s="41">
        <v>0</v>
      </c>
      <c r="O123" s="42">
        <f>SUM(G123:N123)</f>
        <v>22.267300000000002</v>
      </c>
      <c r="P123" s="42">
        <f>SUMPRODUCT(G123:N123,$G$2:$N$2)*1000/Assumptions!$C$15</f>
        <v>7.9961044381231678</v>
      </c>
      <c r="Q123" s="43">
        <f>IF(ISNUMBER(Finder!$G$5),Finder!$D$8*Assumptions!$C$16*2*ASIN(SQRT(SIN(RADIANS(E123-Finder!$G$5)/2)^2+COS(RADIANS(Finder!$G$5))*COS(RADIANS(E123))*SIN(RADIANS(F123-Finder!$G$6)/2)^2)),"")</f>
        <v>1096.4568719389881</v>
      </c>
      <c r="R123" s="39">
        <f>IF(ISNUMBER(Q123),IF(Q123&lt;=Finder!$D$7,1,0),0)</f>
        <v>0</v>
      </c>
      <c r="S123" s="39" t="str">
        <f>IF(R123=1,O123+ROW()*0.000000001,"")</f>
        <v/>
      </c>
      <c r="T123" s="39" t="str">
        <f>IF(O123&gt;0,INDEX(Calc!$B$4:$B$11,MATCH(MAX(G123:N123),G123:N123,0)),"-")</f>
        <v>Paddy Straw</v>
      </c>
    </row>
    <row r="124" spans="1:20">
      <c r="A124" s="39">
        <v>121</v>
      </c>
      <c r="B124" s="39" t="s">
        <v>153</v>
      </c>
      <c r="C124" s="39" t="s">
        <v>187</v>
      </c>
      <c r="D124" s="39" t="str">
        <f>B124&amp;"|"&amp;C124</f>
        <v>Bihar|Sheohar</v>
      </c>
      <c r="E124" s="40">
        <v>26.51</v>
      </c>
      <c r="F124" s="40">
        <v>85.29</v>
      </c>
      <c r="G124" s="41">
        <v>8.82</v>
      </c>
      <c r="H124" s="41">
        <v>6.3</v>
      </c>
      <c r="I124" s="41">
        <v>8.0754999999999999</v>
      </c>
      <c r="J124" s="41">
        <v>0.3448</v>
      </c>
      <c r="K124" s="41">
        <v>20.357800000000001</v>
      </c>
      <c r="L124" s="41">
        <v>2.3751000000000002</v>
      </c>
      <c r="M124" s="41">
        <v>0</v>
      </c>
      <c r="N124" s="41">
        <v>0</v>
      </c>
      <c r="O124" s="42">
        <f>SUM(G124:N124)</f>
        <v>46.273200000000003</v>
      </c>
      <c r="P124" s="42">
        <f>SUMPRODUCT(G124:N124,$G$2:$N$2)*1000/Assumptions!$C$15</f>
        <v>14.666851775073313</v>
      </c>
      <c r="Q124" s="43">
        <f>IF(ISNUMBER(Finder!$G$5),Finder!$D$8*Assumptions!$C$16*2*ASIN(SQRT(SIN(RADIANS(E124-Finder!$G$5)/2)^2+COS(RADIANS(Finder!$G$5))*COS(RADIANS(E124))*SIN(RADIANS(F124-Finder!$G$6)/2)^2)),"")</f>
        <v>985.40318562003461</v>
      </c>
      <c r="R124" s="39">
        <f>IF(ISNUMBER(Q124),IF(Q124&lt;=Finder!$D$7,1,0),0)</f>
        <v>0</v>
      </c>
      <c r="S124" s="39" t="str">
        <f>IF(R124=1,O124+ROW()*0.000000001,"")</f>
        <v/>
      </c>
      <c r="T124" s="39" t="str">
        <f>IF(O124&gt;0,INDEX(Calc!$B$4:$B$11,MATCH(MAX(G124:N124),G124:N124,0)),"-")</f>
        <v>Cane Trash</v>
      </c>
    </row>
    <row r="125" spans="1:20">
      <c r="A125" s="39">
        <v>122</v>
      </c>
      <c r="B125" s="39" t="s">
        <v>153</v>
      </c>
      <c r="C125" s="39" t="s">
        <v>188</v>
      </c>
      <c r="D125" s="39" t="str">
        <f>B125&amp;"|"&amp;C125</f>
        <v>Bihar|Sitamarhi</v>
      </c>
      <c r="E125" s="40">
        <v>26.6</v>
      </c>
      <c r="F125" s="40">
        <v>85.48</v>
      </c>
      <c r="G125" s="41">
        <v>44.94</v>
      </c>
      <c r="H125" s="41">
        <v>41.4</v>
      </c>
      <c r="I125" s="41">
        <v>21.4756</v>
      </c>
      <c r="J125" s="41">
        <v>0.15740000000000001</v>
      </c>
      <c r="K125" s="41">
        <v>254.83519999999999</v>
      </c>
      <c r="L125" s="41">
        <v>29.730799999999999</v>
      </c>
      <c r="M125" s="41">
        <v>0</v>
      </c>
      <c r="N125" s="41">
        <v>0</v>
      </c>
      <c r="O125" s="42">
        <f>SUM(G125:N125)</f>
        <v>392.53899999999999</v>
      </c>
      <c r="P125" s="42">
        <f>SUMPRODUCT(G125:N125,$G$2:$N$2)*1000/Assumptions!$C$15</f>
        <v>121.22388466041053</v>
      </c>
      <c r="Q125" s="43">
        <f>IF(ISNUMBER(Finder!$G$5),Finder!$D$8*Assumptions!$C$16*2*ASIN(SQRT(SIN(RADIANS(E125-Finder!$G$5)/2)^2+COS(RADIANS(Finder!$G$5))*COS(RADIANS(E125))*SIN(RADIANS(F125-Finder!$G$6)/2)^2)),"")</f>
        <v>999.98176048614221</v>
      </c>
      <c r="R125" s="39">
        <f>IF(ISNUMBER(Q125),IF(Q125&lt;=Finder!$D$7,1,0),0)</f>
        <v>0</v>
      </c>
      <c r="S125" s="39" t="str">
        <f>IF(R125=1,O125+ROW()*0.000000001,"")</f>
        <v/>
      </c>
      <c r="T125" s="39" t="str">
        <f>IF(O125&gt;0,INDEX(Calc!$B$4:$B$11,MATCH(MAX(G125:N125),G125:N125,0)),"-")</f>
        <v>Cane Trash</v>
      </c>
    </row>
    <row r="126" spans="1:20">
      <c r="A126" s="39">
        <v>123</v>
      </c>
      <c r="B126" s="39" t="s">
        <v>153</v>
      </c>
      <c r="C126" s="39" t="s">
        <v>189</v>
      </c>
      <c r="D126" s="39" t="str">
        <f>B126&amp;"|"&amp;C126</f>
        <v>Bihar|Siwan</v>
      </c>
      <c r="E126" s="40">
        <v>26.22</v>
      </c>
      <c r="F126" s="40">
        <v>84.36</v>
      </c>
      <c r="G126" s="41">
        <v>37.380000000000003</v>
      </c>
      <c r="H126" s="41">
        <v>37.799999999999997</v>
      </c>
      <c r="I126" s="41">
        <v>60.234299999999998</v>
      </c>
      <c r="J126" s="41">
        <v>1.8735999999999999</v>
      </c>
      <c r="K126" s="41">
        <v>28.6843</v>
      </c>
      <c r="L126" s="41">
        <v>3.3464999999999998</v>
      </c>
      <c r="M126" s="41">
        <v>0</v>
      </c>
      <c r="N126" s="41">
        <v>0</v>
      </c>
      <c r="O126" s="42">
        <f>SUM(G126:N126)</f>
        <v>169.31870000000001</v>
      </c>
      <c r="P126" s="42">
        <f>SUMPRODUCT(G126:N126,$G$2:$N$2)*1000/Assumptions!$C$15</f>
        <v>55.194872020821116</v>
      </c>
      <c r="Q126" s="43">
        <f>IF(ISNUMBER(Finder!$G$5),Finder!$D$8*Assumptions!$C$16*2*ASIN(SQRT(SIN(RADIANS(E126-Finder!$G$5)/2)^2+COS(RADIANS(Finder!$G$5))*COS(RADIANS(E126))*SIN(RADIANS(F126-Finder!$G$6)/2)^2)),"")</f>
        <v>910.6664294982935</v>
      </c>
      <c r="R126" s="39">
        <f>IF(ISNUMBER(Q126),IF(Q126&lt;=Finder!$D$7,1,0),0)</f>
        <v>0</v>
      </c>
      <c r="S126" s="39" t="str">
        <f>IF(R126=1,O126+ROW()*0.000000001,"")</f>
        <v/>
      </c>
      <c r="T126" s="39" t="str">
        <f>IF(O126&gt;0,INDEX(Calc!$B$4:$B$11,MATCH(MAX(G126:N126),G126:N126,0)),"-")</f>
        <v>Maize Stover</v>
      </c>
    </row>
    <row r="127" spans="1:20">
      <c r="A127" s="39">
        <v>124</v>
      </c>
      <c r="B127" s="39" t="s">
        <v>153</v>
      </c>
      <c r="C127" s="39" t="s">
        <v>190</v>
      </c>
      <c r="D127" s="39" t="str">
        <f>B127&amp;"|"&amp;C127</f>
        <v>Bihar|Supaul</v>
      </c>
      <c r="E127" s="40">
        <v>26.12</v>
      </c>
      <c r="F127" s="40">
        <v>86.6</v>
      </c>
      <c r="G127" s="41">
        <v>46.62</v>
      </c>
      <c r="H127" s="41">
        <v>26.1</v>
      </c>
      <c r="I127" s="41">
        <v>143.6011</v>
      </c>
      <c r="J127" s="41">
        <v>0.70740000000000003</v>
      </c>
      <c r="K127" s="41">
        <v>0</v>
      </c>
      <c r="L127" s="41">
        <v>0</v>
      </c>
      <c r="M127" s="41">
        <v>0</v>
      </c>
      <c r="N127" s="41">
        <v>0</v>
      </c>
      <c r="O127" s="42">
        <f>SUM(G127:N127)</f>
        <v>217.02850000000001</v>
      </c>
      <c r="P127" s="42">
        <f>SUMPRODUCT(G127:N127,$G$2:$N$2)*1000/Assumptions!$C$15</f>
        <v>69.108762129032257</v>
      </c>
      <c r="Q127" s="43">
        <f>IF(ISNUMBER(Finder!$G$5),Finder!$D$8*Assumptions!$C$16*2*ASIN(SQRT(SIN(RADIANS(E127-Finder!$G$5)/2)^2+COS(RADIANS(Finder!$G$5))*COS(RADIANS(E127))*SIN(RADIANS(F127-Finder!$G$6)/2)^2)),"")</f>
        <v>1122.9472438781534</v>
      </c>
      <c r="R127" s="39">
        <f>IF(ISNUMBER(Q127),IF(Q127&lt;=Finder!$D$7,1,0),0)</f>
        <v>0</v>
      </c>
      <c r="S127" s="39" t="str">
        <f>IF(R127=1,O127+ROW()*0.000000001,"")</f>
        <v/>
      </c>
      <c r="T127" s="39" t="str">
        <f>IF(O127&gt;0,INDEX(Calc!$B$4:$B$11,MATCH(MAX(G127:N127),G127:N127,0)),"-")</f>
        <v>Maize Stover</v>
      </c>
    </row>
    <row r="128" spans="1:20">
      <c r="A128" s="39">
        <v>125</v>
      </c>
      <c r="B128" s="39" t="s">
        <v>153</v>
      </c>
      <c r="C128" s="39" t="s">
        <v>191</v>
      </c>
      <c r="D128" s="39" t="str">
        <f>B128&amp;"|"&amp;C128</f>
        <v>Bihar|Vaishali</v>
      </c>
      <c r="E128" s="40">
        <v>25.69</v>
      </c>
      <c r="F128" s="40">
        <v>85.21</v>
      </c>
      <c r="G128" s="41">
        <v>15.12</v>
      </c>
      <c r="H128" s="41">
        <v>15.75</v>
      </c>
      <c r="I128" s="41">
        <v>114.13290000000001</v>
      </c>
      <c r="J128" s="41">
        <v>3.5182000000000002</v>
      </c>
      <c r="K128" s="41">
        <v>0</v>
      </c>
      <c r="L128" s="41">
        <v>0</v>
      </c>
      <c r="M128" s="41">
        <v>0</v>
      </c>
      <c r="N128" s="41">
        <v>0</v>
      </c>
      <c r="O128" s="42">
        <f>SUM(G128:N128)</f>
        <v>148.52110000000002</v>
      </c>
      <c r="P128" s="42">
        <f>SUMPRODUCT(G128:N128,$G$2:$N$2)*1000/Assumptions!$C$15</f>
        <v>45.926344274486802</v>
      </c>
      <c r="Q128" s="43">
        <f>IF(ISNUMBER(Finder!$G$5),Finder!$D$8*Assumptions!$C$16*2*ASIN(SQRT(SIN(RADIANS(E128-Finder!$G$5)/2)^2+COS(RADIANS(Finder!$G$5))*COS(RADIANS(E128))*SIN(RADIANS(F128-Finder!$G$6)/2)^2)),"")</f>
        <v>1012.1747213596395</v>
      </c>
      <c r="R128" s="39">
        <f>IF(ISNUMBER(Q128),IF(Q128&lt;=Finder!$D$7,1,0),0)</f>
        <v>0</v>
      </c>
      <c r="S128" s="39" t="str">
        <f>IF(R128=1,O128+ROW()*0.000000001,"")</f>
        <v/>
      </c>
      <c r="T128" s="39" t="str">
        <f>IF(O128&gt;0,INDEX(Calc!$B$4:$B$11,MATCH(MAX(G128:N128),G128:N128,0)),"-")</f>
        <v>Maize Stover</v>
      </c>
    </row>
    <row r="129" spans="1:20">
      <c r="A129" s="39">
        <v>126</v>
      </c>
      <c r="B129" s="39" t="s">
        <v>192</v>
      </c>
      <c r="C129" s="39" t="s">
        <v>192</v>
      </c>
      <c r="D129" s="39" t="str">
        <f>B129&amp;"|"&amp;C129</f>
        <v>Chandigarh|Chandigarh</v>
      </c>
      <c r="E129" s="40">
        <v>30.73</v>
      </c>
      <c r="F129" s="40">
        <v>76.78</v>
      </c>
      <c r="G129" s="41">
        <v>0</v>
      </c>
      <c r="H129" s="41">
        <v>0.45</v>
      </c>
      <c r="I129" s="41">
        <v>1.5699999999999999E-2</v>
      </c>
      <c r="J129" s="41">
        <v>0</v>
      </c>
      <c r="K129" s="41">
        <v>0</v>
      </c>
      <c r="L129" s="41">
        <v>0</v>
      </c>
      <c r="M129" s="41">
        <v>0</v>
      </c>
      <c r="N129" s="41">
        <v>0</v>
      </c>
      <c r="O129" s="42">
        <f>SUM(G129:N129)</f>
        <v>0.4657</v>
      </c>
      <c r="P129" s="42">
        <f>SUMPRODUCT(G129:N129,$G$2:$N$2)*1000/Assumptions!$C$15</f>
        <v>0.16956806803519062</v>
      </c>
      <c r="Q129" s="43">
        <f>IF(ISNUMBER(Finder!$G$5),Finder!$D$8*Assumptions!$C$16*2*ASIN(SQRT(SIN(RADIANS(E129-Finder!$G$5)/2)^2+COS(RADIANS(Finder!$G$5))*COS(RADIANS(E129))*SIN(RADIANS(F129-Finder!$G$6)/2)^2)),"")</f>
        <v>203.21631726406571</v>
      </c>
      <c r="R129" s="39">
        <f>IF(ISNUMBER(Q129),IF(Q129&lt;=Finder!$D$7,1,0),0)</f>
        <v>0</v>
      </c>
      <c r="S129" s="39" t="str">
        <f>IF(R129=1,O129+ROW()*0.000000001,"")</f>
        <v/>
      </c>
      <c r="T129" s="39" t="str">
        <f>IF(O129&gt;0,INDEX(Calc!$B$4:$B$11,MATCH(MAX(G129:N129),G129:N129,0)),"-")</f>
        <v>Wheat Straw</v>
      </c>
    </row>
    <row r="130" spans="1:20">
      <c r="A130" s="39">
        <v>127</v>
      </c>
      <c r="B130" s="39" t="s">
        <v>193</v>
      </c>
      <c r="C130" s="39" t="s">
        <v>194</v>
      </c>
      <c r="D130" s="39" t="str">
        <f>B130&amp;"|"&amp;C130</f>
        <v>Chhattisgarh|Balod</v>
      </c>
      <c r="E130" s="40">
        <v>20.73</v>
      </c>
      <c r="F130" s="40">
        <v>81.2</v>
      </c>
      <c r="G130" s="41">
        <v>0</v>
      </c>
      <c r="H130" s="41">
        <v>0</v>
      </c>
      <c r="I130" s="41">
        <v>0.30499999999999999</v>
      </c>
      <c r="J130" s="41">
        <v>0.50409999999999999</v>
      </c>
      <c r="K130" s="41">
        <v>0.37759999999999999</v>
      </c>
      <c r="L130" s="41">
        <v>4.41E-2</v>
      </c>
      <c r="M130" s="41">
        <v>0</v>
      </c>
      <c r="N130" s="41">
        <v>0</v>
      </c>
      <c r="O130" s="42">
        <f>SUM(G130:N130)</f>
        <v>1.2307999999999999</v>
      </c>
      <c r="P130" s="42">
        <f>SUMPRODUCT(G130:N130,$G$2:$N$2)*1000/Assumptions!$C$15</f>
        <v>0.36132609472140764</v>
      </c>
      <c r="Q130" s="43">
        <f>IF(ISNUMBER(Finder!$G$5),Finder!$D$8*Assumptions!$C$16*2*ASIN(SQRT(SIN(RADIANS(E130-Finder!$G$5)/2)^2+COS(RADIANS(Finder!$G$5))*COS(RADIANS(E130))*SIN(RADIANS(F130-Finder!$G$6)/2)^2)),"")</f>
        <v>1086.7024972869508</v>
      </c>
      <c r="R130" s="39">
        <f>IF(ISNUMBER(Q130),IF(Q130&lt;=Finder!$D$7,1,0),0)</f>
        <v>0</v>
      </c>
      <c r="S130" s="39" t="str">
        <f>IF(R130=1,O130+ROW()*0.000000001,"")</f>
        <v/>
      </c>
      <c r="T130" s="39" t="str">
        <f>IF(O130&gt;0,INDEX(Calc!$B$4:$B$11,MATCH(MAX(G130:N130),G130:N130,0)),"-")</f>
        <v>Mustard Stalk</v>
      </c>
    </row>
    <row r="131" spans="1:20">
      <c r="A131" s="39">
        <v>128</v>
      </c>
      <c r="B131" s="39" t="s">
        <v>193</v>
      </c>
      <c r="C131" s="39" t="s">
        <v>195</v>
      </c>
      <c r="D131" s="39" t="str">
        <f>B131&amp;"|"&amp;C131</f>
        <v>Chhattisgarh|Balodabazar-Bhatapara</v>
      </c>
      <c r="E131" s="40">
        <v>21.66</v>
      </c>
      <c r="F131" s="40">
        <v>82.16</v>
      </c>
      <c r="G131" s="41">
        <v>0</v>
      </c>
      <c r="H131" s="41">
        <v>0</v>
      </c>
      <c r="I131" s="41">
        <v>5.0900000000000001E-2</v>
      </c>
      <c r="J131" s="41">
        <v>0.18440000000000001</v>
      </c>
      <c r="K131" s="41">
        <v>1.6199999999999999E-2</v>
      </c>
      <c r="L131" s="41">
        <v>1.9E-3</v>
      </c>
      <c r="M131" s="41">
        <v>0.1802</v>
      </c>
      <c r="N131" s="41">
        <v>0</v>
      </c>
      <c r="O131" s="42">
        <f>SUM(G131:N131)</f>
        <v>0.43359999999999999</v>
      </c>
      <c r="P131" s="42">
        <f>SUMPRODUCT(G131:N131,$G$2:$N$2)*1000/Assumptions!$C$15</f>
        <v>0.13141712052785925</v>
      </c>
      <c r="Q131" s="43">
        <f>IF(ISNUMBER(Finder!$G$5),Finder!$D$8*Assumptions!$C$16*2*ASIN(SQRT(SIN(RADIANS(E131-Finder!$G$5)/2)^2+COS(RADIANS(Finder!$G$5))*COS(RADIANS(E131))*SIN(RADIANS(F131-Finder!$G$6)/2)^2)),"")</f>
        <v>1054.0253418667901</v>
      </c>
      <c r="R131" s="39">
        <f>IF(ISNUMBER(Q131),IF(Q131&lt;=Finder!$D$7,1,0),0)</f>
        <v>0</v>
      </c>
      <c r="S131" s="39" t="str">
        <f>IF(R131=1,O131+ROW()*0.000000001,"")</f>
        <v/>
      </c>
      <c r="T131" s="39" t="str">
        <f>IF(O131&gt;0,INDEX(Calc!$B$4:$B$11,MATCH(MAX(G131:N131),G131:N131,0)),"-")</f>
        <v>Mustard Stalk</v>
      </c>
    </row>
    <row r="132" spans="1:20">
      <c r="A132" s="39">
        <v>129</v>
      </c>
      <c r="B132" s="39" t="s">
        <v>193</v>
      </c>
      <c r="C132" s="39" t="s">
        <v>196</v>
      </c>
      <c r="D132" s="39" t="str">
        <f>B132&amp;"|"&amp;C132</f>
        <v>Chhattisgarh|Balrampur-Ramanujganj</v>
      </c>
      <c r="E132" s="40">
        <v>23.61</v>
      </c>
      <c r="F132" s="40">
        <v>83.61</v>
      </c>
      <c r="G132" s="41">
        <v>0</v>
      </c>
      <c r="H132" s="41">
        <v>0</v>
      </c>
      <c r="I132" s="41">
        <v>50.051900000000003</v>
      </c>
      <c r="J132" s="41">
        <v>1.236</v>
      </c>
      <c r="K132" s="41">
        <v>0.2329</v>
      </c>
      <c r="L132" s="41">
        <v>2.7199999999999998E-2</v>
      </c>
      <c r="M132" s="41">
        <v>8.9999999999999998E-4</v>
      </c>
      <c r="N132" s="41">
        <v>0</v>
      </c>
      <c r="O132" s="42">
        <f>SUM(G132:N132)</f>
        <v>51.548900000000003</v>
      </c>
      <c r="P132" s="42">
        <f>SUMPRODUCT(G132:N132,$G$2:$N$2)*1000/Assumptions!$C$15</f>
        <v>15.164304279178886</v>
      </c>
      <c r="Q132" s="43">
        <f>IF(ISNUMBER(Finder!$G$5),Finder!$D$8*Assumptions!$C$16*2*ASIN(SQRT(SIN(RADIANS(E132-Finder!$G$5)/2)^2+COS(RADIANS(Finder!$G$5))*COS(RADIANS(E132))*SIN(RADIANS(F132-Finder!$G$6)/2)^2)),"")</f>
        <v>998.09710185091649</v>
      </c>
      <c r="R132" s="39">
        <f>IF(ISNUMBER(Q132),IF(Q132&lt;=Finder!$D$7,1,0),0)</f>
        <v>0</v>
      </c>
      <c r="S132" s="39" t="str">
        <f>IF(R132=1,O132+ROW()*0.000000001,"")</f>
        <v/>
      </c>
      <c r="T132" s="39" t="str">
        <f>IF(O132&gt;0,INDEX(Calc!$B$4:$B$11,MATCH(MAX(G132:N132),G132:N132,0)),"-")</f>
        <v>Maize Stover</v>
      </c>
    </row>
    <row r="133" spans="1:20">
      <c r="A133" s="39">
        <v>130</v>
      </c>
      <c r="B133" s="39" t="s">
        <v>193</v>
      </c>
      <c r="C133" s="39" t="s">
        <v>197</v>
      </c>
      <c r="D133" s="39" t="str">
        <f>B133&amp;"|"&amp;C133</f>
        <v>Chhattisgarh|Bastar</v>
      </c>
      <c r="E133" s="40">
        <v>19.079999999999998</v>
      </c>
      <c r="F133" s="40">
        <v>82.02</v>
      </c>
      <c r="G133" s="41">
        <v>0</v>
      </c>
      <c r="H133" s="41">
        <v>0</v>
      </c>
      <c r="I133" s="41">
        <v>51.066699999999997</v>
      </c>
      <c r="J133" s="41">
        <v>0.1207</v>
      </c>
      <c r="K133" s="41">
        <v>0.1381</v>
      </c>
      <c r="L133" s="41">
        <v>1.61E-2</v>
      </c>
      <c r="M133" s="41">
        <v>8.9999999999999998E-4</v>
      </c>
      <c r="N133" s="41">
        <v>0</v>
      </c>
      <c r="O133" s="42">
        <f>SUM(G133:N133)</f>
        <v>51.342500000000001</v>
      </c>
      <c r="P133" s="42">
        <f>SUMPRODUCT(G133:N133,$G$2:$N$2)*1000/Assumptions!$C$15</f>
        <v>15.103779134017596</v>
      </c>
      <c r="Q133" s="43">
        <f>IF(ISNUMBER(Finder!$G$5),Finder!$D$8*Assumptions!$C$16*2*ASIN(SQRT(SIN(RADIANS(E133-Finder!$G$5)/2)^2+COS(RADIANS(Finder!$G$5))*COS(RADIANS(E133))*SIN(RADIANS(F133-Finder!$G$6)/2)^2)),"")</f>
        <v>1288.7460115422014</v>
      </c>
      <c r="R133" s="39">
        <f>IF(ISNUMBER(Q133),IF(Q133&lt;=Finder!$D$7,1,0),0)</f>
        <v>0</v>
      </c>
      <c r="S133" s="39" t="str">
        <f>IF(R133=1,O133+ROW()*0.000000001,"")</f>
        <v/>
      </c>
      <c r="T133" s="39" t="str">
        <f>IF(O133&gt;0,INDEX(Calc!$B$4:$B$11,MATCH(MAX(G133:N133),G133:N133,0)),"-")</f>
        <v>Maize Stover</v>
      </c>
    </row>
    <row r="134" spans="1:20">
      <c r="A134" s="39">
        <v>131</v>
      </c>
      <c r="B134" s="39" t="s">
        <v>193</v>
      </c>
      <c r="C134" s="39" t="s">
        <v>198</v>
      </c>
      <c r="D134" s="39" t="str">
        <f>B134&amp;"|"&amp;C134</f>
        <v>Chhattisgarh|Bemetara</v>
      </c>
      <c r="E134" s="40">
        <v>21.71</v>
      </c>
      <c r="F134" s="40">
        <v>81.53</v>
      </c>
      <c r="G134" s="41">
        <v>0</v>
      </c>
      <c r="H134" s="41">
        <v>0</v>
      </c>
      <c r="I134" s="41">
        <v>0.2079</v>
      </c>
      <c r="J134" s="41">
        <v>0.1464</v>
      </c>
      <c r="K134" s="41">
        <v>1.9096</v>
      </c>
      <c r="L134" s="41">
        <v>0.2228</v>
      </c>
      <c r="M134" s="41">
        <v>2.4289999999999998</v>
      </c>
      <c r="N134" s="41">
        <v>0</v>
      </c>
      <c r="O134" s="42">
        <f>SUM(G134:N134)</f>
        <v>4.9156999999999993</v>
      </c>
      <c r="P134" s="42">
        <f>SUMPRODUCT(G134:N134,$G$2:$N$2)*1000/Assumptions!$C$15</f>
        <v>1.4948246263929619</v>
      </c>
      <c r="Q134" s="43">
        <f>IF(ISNUMBER(Finder!$G$5),Finder!$D$8*Assumptions!$C$16*2*ASIN(SQRT(SIN(RADIANS(E134-Finder!$G$5)/2)^2+COS(RADIANS(Finder!$G$5))*COS(RADIANS(E134))*SIN(RADIANS(F134-Finder!$G$6)/2)^2)),"")</f>
        <v>1011.9106761823116</v>
      </c>
      <c r="R134" s="39">
        <f>IF(ISNUMBER(Q134),IF(Q134&lt;=Finder!$D$7,1,0),0)</f>
        <v>0</v>
      </c>
      <c r="S134" s="39" t="str">
        <f>IF(R134=1,O134+ROW()*0.000000001,"")</f>
        <v/>
      </c>
      <c r="T134" s="39" t="str">
        <f>IF(O134&gt;0,INDEX(Calc!$B$4:$B$11,MATCH(MAX(G134:N134),G134:N134,0)),"-")</f>
        <v>Soya Trash</v>
      </c>
    </row>
    <row r="135" spans="1:20">
      <c r="A135" s="39">
        <v>132</v>
      </c>
      <c r="B135" s="39" t="s">
        <v>193</v>
      </c>
      <c r="C135" s="39" t="s">
        <v>199</v>
      </c>
      <c r="D135" s="39" t="str">
        <f>B135&amp;"|"&amp;C135</f>
        <v>Chhattisgarh|Bijapur</v>
      </c>
      <c r="E135" s="40">
        <v>18.79</v>
      </c>
      <c r="F135" s="40">
        <v>80.819999999999993</v>
      </c>
      <c r="G135" s="41">
        <v>0</v>
      </c>
      <c r="H135" s="41">
        <v>0</v>
      </c>
      <c r="I135" s="41">
        <v>0.49399999999999999</v>
      </c>
      <c r="J135" s="41">
        <v>1.8E-3</v>
      </c>
      <c r="K135" s="41">
        <v>0</v>
      </c>
      <c r="L135" s="41">
        <v>0</v>
      </c>
      <c r="M135" s="41">
        <v>0</v>
      </c>
      <c r="N135" s="41">
        <v>0</v>
      </c>
      <c r="O135" s="42">
        <f>SUM(G135:N135)</f>
        <v>0.49580000000000002</v>
      </c>
      <c r="P135" s="42">
        <f>SUMPRODUCT(G135:N135,$G$2:$N$2)*1000/Assumptions!$C$15</f>
        <v>0.14585534545454548</v>
      </c>
      <c r="Q135" s="43">
        <f>IF(ISNUMBER(Finder!$G$5),Finder!$D$8*Assumptions!$C$16*2*ASIN(SQRT(SIN(RADIANS(E135-Finder!$G$5)/2)^2+COS(RADIANS(Finder!$G$5))*COS(RADIANS(E135))*SIN(RADIANS(F135-Finder!$G$6)/2)^2)),"")</f>
        <v>1262.686769122831</v>
      </c>
      <c r="R135" s="39">
        <f>IF(ISNUMBER(Q135),IF(Q135&lt;=Finder!$D$7,1,0),0)</f>
        <v>0</v>
      </c>
      <c r="S135" s="39" t="str">
        <f>IF(R135=1,O135+ROW()*0.000000001,"")</f>
        <v/>
      </c>
      <c r="T135" s="39" t="str">
        <f>IF(O135&gt;0,INDEX(Calc!$B$4:$B$11,MATCH(MAX(G135:N135),G135:N135,0)),"-")</f>
        <v>Maize Stover</v>
      </c>
    </row>
    <row r="136" spans="1:20">
      <c r="A136" s="39">
        <v>133</v>
      </c>
      <c r="B136" s="39" t="s">
        <v>193</v>
      </c>
      <c r="C136" s="39" t="s">
        <v>200</v>
      </c>
      <c r="D136" s="39" t="str">
        <f>B136&amp;"|"&amp;C136</f>
        <v>Chhattisgarh|Bilaspur</v>
      </c>
      <c r="E136" s="40">
        <v>22.08</v>
      </c>
      <c r="F136" s="40">
        <v>82.14</v>
      </c>
      <c r="G136" s="41">
        <v>0.42</v>
      </c>
      <c r="H136" s="41">
        <v>12.15</v>
      </c>
      <c r="I136" s="41">
        <v>0.32179999999999997</v>
      </c>
      <c r="J136" s="41">
        <v>7.4700000000000003E-2</v>
      </c>
      <c r="K136" s="41">
        <v>1.12E-2</v>
      </c>
      <c r="L136" s="41">
        <v>1.2999999999999999E-3</v>
      </c>
      <c r="M136" s="41">
        <v>6.1000000000000004E-3</v>
      </c>
      <c r="N136" s="41">
        <v>0</v>
      </c>
      <c r="O136" s="42">
        <f>SUM(G136:N136)</f>
        <v>12.985100000000001</v>
      </c>
      <c r="P136" s="42">
        <f>SUMPRODUCT(G136:N136,$G$2:$N$2)*1000/Assumptions!$C$15</f>
        <v>4.7298127070381231</v>
      </c>
      <c r="Q136" s="43">
        <f>IF(ISNUMBER(Finder!$G$5),Finder!$D$8*Assumptions!$C$16*2*ASIN(SQRT(SIN(RADIANS(E136-Finder!$G$5)/2)^2+COS(RADIANS(Finder!$G$5))*COS(RADIANS(E136))*SIN(RADIANS(F136-Finder!$G$6)/2)^2)),"")</f>
        <v>1015.5901618205874</v>
      </c>
      <c r="R136" s="39">
        <f>IF(ISNUMBER(Q136),IF(Q136&lt;=Finder!$D$7,1,0),0)</f>
        <v>0</v>
      </c>
      <c r="S136" s="39" t="str">
        <f>IF(R136=1,O136+ROW()*0.000000001,"")</f>
        <v/>
      </c>
      <c r="T136" s="39" t="str">
        <f>IF(O136&gt;0,INDEX(Calc!$B$4:$B$11,MATCH(MAX(G136:N136),G136:N136,0)),"-")</f>
        <v>Wheat Straw</v>
      </c>
    </row>
    <row r="137" spans="1:20">
      <c r="A137" s="39">
        <v>134</v>
      </c>
      <c r="B137" s="39" t="s">
        <v>193</v>
      </c>
      <c r="C137" s="39" t="s">
        <v>201</v>
      </c>
      <c r="D137" s="39" t="str">
        <f>B137&amp;"|"&amp;C137</f>
        <v>Chhattisgarh|Dakshin Bastar Dantewada</v>
      </c>
      <c r="E137" s="40">
        <v>18.899999999999999</v>
      </c>
      <c r="F137" s="40">
        <v>81.349999999999994</v>
      </c>
      <c r="G137" s="41">
        <v>0</v>
      </c>
      <c r="H137" s="41">
        <v>0</v>
      </c>
      <c r="I137" s="41">
        <v>2.3489</v>
      </c>
      <c r="J137" s="41">
        <v>3.8600000000000002E-2</v>
      </c>
      <c r="K137" s="41">
        <v>0</v>
      </c>
      <c r="L137" s="41">
        <v>0</v>
      </c>
      <c r="M137" s="41">
        <v>0</v>
      </c>
      <c r="N137" s="41">
        <v>0</v>
      </c>
      <c r="O137" s="42">
        <f>SUM(G137:N137)</f>
        <v>2.3875000000000002</v>
      </c>
      <c r="P137" s="42">
        <f>SUMPRODUCT(G137:N137,$G$2:$N$2)*1000/Assumptions!$C$15</f>
        <v>0.70235909090909088</v>
      </c>
      <c r="Q137" s="43">
        <f>IF(ISNUMBER(Finder!$G$5),Finder!$D$8*Assumptions!$C$16*2*ASIN(SQRT(SIN(RADIANS(E137-Finder!$G$5)/2)^2+COS(RADIANS(Finder!$G$5))*COS(RADIANS(E137))*SIN(RADIANS(F137-Finder!$G$6)/2)^2)),"")</f>
        <v>1274.5727306737344</v>
      </c>
      <c r="R137" s="39">
        <f>IF(ISNUMBER(Q137),IF(Q137&lt;=Finder!$D$7,1,0),0)</f>
        <v>0</v>
      </c>
      <c r="S137" s="39" t="str">
        <f>IF(R137=1,O137+ROW()*0.000000001,"")</f>
        <v/>
      </c>
      <c r="T137" s="39" t="str">
        <f>IF(O137&gt;0,INDEX(Calc!$B$4:$B$11,MATCH(MAX(G137:N137),G137:N137,0)),"-")</f>
        <v>Maize Stover</v>
      </c>
    </row>
    <row r="138" spans="1:20">
      <c r="A138" s="39">
        <v>135</v>
      </c>
      <c r="B138" s="39" t="s">
        <v>193</v>
      </c>
      <c r="C138" s="39" t="s">
        <v>202</v>
      </c>
      <c r="D138" s="39" t="str">
        <f>B138&amp;"|"&amp;C138</f>
        <v>Chhattisgarh|Dhamtari</v>
      </c>
      <c r="E138" s="40">
        <v>20.71</v>
      </c>
      <c r="F138" s="40">
        <v>81.55</v>
      </c>
      <c r="G138" s="41">
        <v>0</v>
      </c>
      <c r="H138" s="41">
        <v>0</v>
      </c>
      <c r="I138" s="41">
        <v>2.5042</v>
      </c>
      <c r="J138" s="41">
        <v>0.47470000000000001</v>
      </c>
      <c r="K138" s="41">
        <v>5.8999999999999999E-3</v>
      </c>
      <c r="L138" s="41">
        <v>6.9999999999999999E-4</v>
      </c>
      <c r="M138" s="41">
        <v>0</v>
      </c>
      <c r="N138" s="41">
        <v>0</v>
      </c>
      <c r="O138" s="42">
        <f>SUM(G138:N138)</f>
        <v>2.9855</v>
      </c>
      <c r="P138" s="42">
        <f>SUMPRODUCT(G138:N138,$G$2:$N$2)*1000/Assumptions!$C$15</f>
        <v>0.87826613519061603</v>
      </c>
      <c r="Q138" s="43">
        <f>IF(ISNUMBER(Finder!$G$5),Finder!$D$8*Assumptions!$C$16*2*ASIN(SQRT(SIN(RADIANS(E138-Finder!$G$5)/2)^2+COS(RADIANS(Finder!$G$5))*COS(RADIANS(E138))*SIN(RADIANS(F138-Finder!$G$6)/2)^2)),"")</f>
        <v>1106.9116569970113</v>
      </c>
      <c r="R138" s="39">
        <f>IF(ISNUMBER(Q138),IF(Q138&lt;=Finder!$D$7,1,0),0)</f>
        <v>0</v>
      </c>
      <c r="S138" s="39" t="str">
        <f>IF(R138=1,O138+ROW()*0.000000001,"")</f>
        <v/>
      </c>
      <c r="T138" s="39" t="str">
        <f>IF(O138&gt;0,INDEX(Calc!$B$4:$B$11,MATCH(MAX(G138:N138),G138:N138,0)),"-")</f>
        <v>Maize Stover</v>
      </c>
    </row>
    <row r="139" spans="1:20">
      <c r="A139" s="39">
        <v>136</v>
      </c>
      <c r="B139" s="39" t="s">
        <v>193</v>
      </c>
      <c r="C139" s="39" t="s">
        <v>203</v>
      </c>
      <c r="D139" s="39" t="str">
        <f>B139&amp;"|"&amp;C139</f>
        <v>Chhattisgarh|Durg</v>
      </c>
      <c r="E139" s="40">
        <v>21.19</v>
      </c>
      <c r="F139" s="40">
        <v>81.28</v>
      </c>
      <c r="G139" s="41">
        <v>0</v>
      </c>
      <c r="H139" s="41">
        <v>0</v>
      </c>
      <c r="I139" s="41">
        <v>5.0168999999999997</v>
      </c>
      <c r="J139" s="41">
        <v>1.2795000000000001</v>
      </c>
      <c r="K139" s="41">
        <v>9.1600000000000001E-2</v>
      </c>
      <c r="L139" s="41">
        <v>1.0699999999999999E-2</v>
      </c>
      <c r="M139" s="41">
        <v>1.8209</v>
      </c>
      <c r="N139" s="41">
        <v>0</v>
      </c>
      <c r="O139" s="42">
        <f>SUM(G139:N139)</f>
        <v>8.2195999999999998</v>
      </c>
      <c r="P139" s="42">
        <f>SUMPRODUCT(G139:N139,$G$2:$N$2)*1000/Assumptions!$C$15</f>
        <v>2.4572181363636361</v>
      </c>
      <c r="Q139" s="43">
        <f>IF(ISNUMBER(Finder!$G$5),Finder!$D$8*Assumptions!$C$16*2*ASIN(SQRT(SIN(RADIANS(E139-Finder!$G$5)/2)^2+COS(RADIANS(Finder!$G$5))*COS(RADIANS(E139))*SIN(RADIANS(F139-Finder!$G$6)/2)^2)),"")</f>
        <v>1046.7218823437875</v>
      </c>
      <c r="R139" s="39">
        <f>IF(ISNUMBER(Q139),IF(Q139&lt;=Finder!$D$7,1,0),0)</f>
        <v>0</v>
      </c>
      <c r="S139" s="39" t="str">
        <f>IF(R139=1,O139+ROW()*0.000000001,"")</f>
        <v/>
      </c>
      <c r="T139" s="39" t="str">
        <f>IF(O139&gt;0,INDEX(Calc!$B$4:$B$11,MATCH(MAX(G139:N139),G139:N139,0)),"-")</f>
        <v>Maize Stover</v>
      </c>
    </row>
    <row r="140" spans="1:20">
      <c r="A140" s="39">
        <v>137</v>
      </c>
      <c r="B140" s="39" t="s">
        <v>193</v>
      </c>
      <c r="C140" s="39" t="s">
        <v>204</v>
      </c>
      <c r="D140" s="39" t="str">
        <f>B140&amp;"|"&amp;C140</f>
        <v>Chhattisgarh|Gariyaband</v>
      </c>
      <c r="E140" s="40">
        <v>20.63</v>
      </c>
      <c r="F140" s="40">
        <v>82.06</v>
      </c>
      <c r="G140" s="41">
        <v>0</v>
      </c>
      <c r="H140" s="41">
        <v>0</v>
      </c>
      <c r="I140" s="41">
        <v>6.6055000000000001</v>
      </c>
      <c r="J140" s="41">
        <v>1.1599999999999999E-2</v>
      </c>
      <c r="K140" s="41">
        <v>3.8E-3</v>
      </c>
      <c r="L140" s="41">
        <v>4.0000000000000002E-4</v>
      </c>
      <c r="M140" s="41">
        <v>0</v>
      </c>
      <c r="N140" s="41">
        <v>0</v>
      </c>
      <c r="O140" s="42">
        <f>SUM(G140:N140)</f>
        <v>6.6212999999999997</v>
      </c>
      <c r="P140" s="42">
        <f>SUMPRODUCT(G140:N140,$G$2:$N$2)*1000/Assumptions!$C$15</f>
        <v>1.9478661818181819</v>
      </c>
      <c r="Q140" s="43">
        <f>IF(ISNUMBER(Finder!$G$5),Finder!$D$8*Assumptions!$C$16*2*ASIN(SQRT(SIN(RADIANS(E140-Finder!$G$5)/2)^2+COS(RADIANS(Finder!$G$5))*COS(RADIANS(E140))*SIN(RADIANS(F140-Finder!$G$6)/2)^2)),"")</f>
        <v>1142.440207404074</v>
      </c>
      <c r="R140" s="39">
        <f>IF(ISNUMBER(Q140),IF(Q140&lt;=Finder!$D$7,1,0),0)</f>
        <v>0</v>
      </c>
      <c r="S140" s="39" t="str">
        <f>IF(R140=1,O140+ROW()*0.000000001,"")</f>
        <v/>
      </c>
      <c r="T140" s="39" t="str">
        <f>IF(O140&gt;0,INDEX(Calc!$B$4:$B$11,MATCH(MAX(G140:N140),G140:N140,0)),"-")</f>
        <v>Maize Stover</v>
      </c>
    </row>
    <row r="141" spans="1:20">
      <c r="A141" s="39">
        <v>138</v>
      </c>
      <c r="B141" s="39" t="s">
        <v>193</v>
      </c>
      <c r="C141" s="39" t="s">
        <v>205</v>
      </c>
      <c r="D141" s="39" t="str">
        <f>B141&amp;"|"&amp;C141</f>
        <v>Chhattisgarh|Gaurela-Pendra-Marwahi</v>
      </c>
      <c r="E141" s="40">
        <v>22.75</v>
      </c>
      <c r="F141" s="40">
        <v>81.900000000000006</v>
      </c>
      <c r="G141" s="41">
        <v>0</v>
      </c>
      <c r="H141" s="41">
        <v>0</v>
      </c>
      <c r="I141" s="41">
        <v>2.5688</v>
      </c>
      <c r="J141" s="41">
        <v>7.3499999999999996E-2</v>
      </c>
      <c r="K141" s="41">
        <v>0</v>
      </c>
      <c r="L141" s="41">
        <v>0</v>
      </c>
      <c r="M141" s="41">
        <v>5.3E-3</v>
      </c>
      <c r="N141" s="41">
        <v>0</v>
      </c>
      <c r="O141" s="42">
        <f>SUM(G141:N141)</f>
        <v>2.6476000000000002</v>
      </c>
      <c r="P141" s="42">
        <f>SUMPRODUCT(G141:N141,$G$2:$N$2)*1000/Assumptions!$C$15</f>
        <v>0.77899029912023476</v>
      </c>
      <c r="Q141" s="43">
        <f>IF(ISNUMBER(Finder!$G$5),Finder!$D$8*Assumptions!$C$16*2*ASIN(SQRT(SIN(RADIANS(E141-Finder!$G$5)/2)^2+COS(RADIANS(Finder!$G$5))*COS(RADIANS(E141))*SIN(RADIANS(F141-Finder!$G$6)/2)^2)),"")</f>
        <v>942.06807366672035</v>
      </c>
      <c r="R141" s="39">
        <f>IF(ISNUMBER(Q141),IF(Q141&lt;=Finder!$D$7,1,0),0)</f>
        <v>0</v>
      </c>
      <c r="S141" s="39" t="str">
        <f>IF(R141=1,O141+ROW()*0.000000001,"")</f>
        <v/>
      </c>
      <c r="T141" s="39" t="str">
        <f>IF(O141&gt;0,INDEX(Calc!$B$4:$B$11,MATCH(MAX(G141:N141),G141:N141,0)),"-")</f>
        <v>Maize Stover</v>
      </c>
    </row>
    <row r="142" spans="1:20">
      <c r="A142" s="39">
        <v>139</v>
      </c>
      <c r="B142" s="39" t="s">
        <v>193</v>
      </c>
      <c r="C142" s="39" t="s">
        <v>206</v>
      </c>
      <c r="D142" s="39" t="str">
        <f>B142&amp;"|"&amp;C142</f>
        <v>Chhattisgarh|Janjgir-Champa</v>
      </c>
      <c r="E142" s="40">
        <v>22.01</v>
      </c>
      <c r="F142" s="40">
        <v>82.58</v>
      </c>
      <c r="G142" s="41">
        <v>0</v>
      </c>
      <c r="H142" s="41">
        <v>0</v>
      </c>
      <c r="I142" s="41">
        <v>0.14330000000000001</v>
      </c>
      <c r="J142" s="41">
        <v>1.23E-2</v>
      </c>
      <c r="K142" s="41">
        <v>1.6000000000000001E-3</v>
      </c>
      <c r="L142" s="41">
        <v>2.0000000000000001E-4</v>
      </c>
      <c r="M142" s="41">
        <v>0</v>
      </c>
      <c r="N142" s="41">
        <v>0</v>
      </c>
      <c r="O142" s="42">
        <f>SUM(G142:N142)</f>
        <v>0.15740000000000001</v>
      </c>
      <c r="P142" s="42">
        <f>SUMPRODUCT(G142:N142,$G$2:$N$2)*1000/Assumptions!$C$15</f>
        <v>4.6298723167155435E-2</v>
      </c>
      <c r="Q142" s="43">
        <f>IF(ISNUMBER(Finder!$G$5),Finder!$D$8*Assumptions!$C$16*2*ASIN(SQRT(SIN(RADIANS(E142-Finder!$G$5)/2)^2+COS(RADIANS(Finder!$G$5))*COS(RADIANS(E142))*SIN(RADIANS(F142-Finder!$G$6)/2)^2)),"")</f>
        <v>1050.0348182336386</v>
      </c>
      <c r="R142" s="39">
        <f>IF(ISNUMBER(Q142),IF(Q142&lt;=Finder!$D$7,1,0),0)</f>
        <v>0</v>
      </c>
      <c r="S142" s="39" t="str">
        <f>IF(R142=1,O142+ROW()*0.000000001,"")</f>
        <v/>
      </c>
      <c r="T142" s="39" t="str">
        <f>IF(O142&gt;0,INDEX(Calc!$B$4:$B$11,MATCH(MAX(G142:N142),G142:N142,0)),"-")</f>
        <v>Maize Stover</v>
      </c>
    </row>
    <row r="143" spans="1:20">
      <c r="A143" s="39">
        <v>140</v>
      </c>
      <c r="B143" s="39" t="s">
        <v>193</v>
      </c>
      <c r="C143" s="39" t="s">
        <v>207</v>
      </c>
      <c r="D143" s="39" t="str">
        <f>B143&amp;"|"&amp;C143</f>
        <v>Chhattisgarh|Jashpur</v>
      </c>
      <c r="E143" s="40">
        <v>22.88</v>
      </c>
      <c r="F143" s="40">
        <v>84.14</v>
      </c>
      <c r="G143" s="41">
        <v>0</v>
      </c>
      <c r="H143" s="41">
        <v>0</v>
      </c>
      <c r="I143" s="41">
        <v>13.613300000000001</v>
      </c>
      <c r="J143" s="41">
        <v>1.048</v>
      </c>
      <c r="K143" s="41">
        <v>4.0300000000000002E-2</v>
      </c>
      <c r="L143" s="41">
        <v>4.7000000000000002E-3</v>
      </c>
      <c r="M143" s="41">
        <v>1.8E-3</v>
      </c>
      <c r="N143" s="41">
        <v>0</v>
      </c>
      <c r="O143" s="42">
        <f>SUM(G143:N143)</f>
        <v>14.7081</v>
      </c>
      <c r="P143" s="42">
        <f>SUMPRODUCT(G143:N143,$G$2:$N$2)*1000/Assumptions!$C$15</f>
        <v>4.3268153058651038</v>
      </c>
      <c r="Q143" s="43">
        <f>IF(ISNUMBER(Finder!$G$5),Finder!$D$8*Assumptions!$C$16*2*ASIN(SQRT(SIN(RADIANS(E143-Finder!$G$5)/2)^2+COS(RADIANS(Finder!$G$5))*COS(RADIANS(E143))*SIN(RADIANS(F143-Finder!$G$6)/2)^2)),"")</f>
        <v>1092.0487651902843</v>
      </c>
      <c r="R143" s="39">
        <f>IF(ISNUMBER(Q143),IF(Q143&lt;=Finder!$D$7,1,0),0)</f>
        <v>0</v>
      </c>
      <c r="S143" s="39" t="str">
        <f>IF(R143=1,O143+ROW()*0.000000001,"")</f>
        <v/>
      </c>
      <c r="T143" s="39" t="str">
        <f>IF(O143&gt;0,INDEX(Calc!$B$4:$B$11,MATCH(MAX(G143:N143),G143:N143,0)),"-")</f>
        <v>Maize Stover</v>
      </c>
    </row>
    <row r="144" spans="1:20">
      <c r="A144" s="39">
        <v>141</v>
      </c>
      <c r="B144" s="39" t="s">
        <v>193</v>
      </c>
      <c r="C144" s="39" t="s">
        <v>208</v>
      </c>
      <c r="D144" s="39" t="str">
        <f>B144&amp;"|"&amp;C144</f>
        <v>Chhattisgarh|Kabeerdham</v>
      </c>
      <c r="E144" s="40">
        <v>22.01</v>
      </c>
      <c r="F144" s="40">
        <v>81.23</v>
      </c>
      <c r="G144" s="41">
        <v>0</v>
      </c>
      <c r="H144" s="41">
        <v>0</v>
      </c>
      <c r="I144" s="41">
        <v>1.9913000000000001</v>
      </c>
      <c r="J144" s="41">
        <v>6.25E-2</v>
      </c>
      <c r="K144" s="41">
        <v>23.209399999999999</v>
      </c>
      <c r="L144" s="41">
        <v>2.7078000000000002</v>
      </c>
      <c r="M144" s="41">
        <v>6.2134</v>
      </c>
      <c r="N144" s="41">
        <v>0</v>
      </c>
      <c r="O144" s="42">
        <f>SUM(G144:N144)</f>
        <v>34.184399999999997</v>
      </c>
      <c r="P144" s="42">
        <f>SUMPRODUCT(G144:N144,$G$2:$N$2)*1000/Assumptions!$C$15</f>
        <v>10.144902344281526</v>
      </c>
      <c r="Q144" s="43">
        <f>IF(ISNUMBER(Finder!$G$5),Finder!$D$8*Assumptions!$C$16*2*ASIN(SQRT(SIN(RADIANS(E144-Finder!$G$5)/2)^2+COS(RADIANS(Finder!$G$5))*COS(RADIANS(E144))*SIN(RADIANS(F144-Finder!$G$6)/2)^2)),"")</f>
        <v>966.96279298861759</v>
      </c>
      <c r="R144" s="39">
        <f>IF(ISNUMBER(Q144),IF(Q144&lt;=Finder!$D$7,1,0),0)</f>
        <v>0</v>
      </c>
      <c r="S144" s="39" t="str">
        <f>IF(R144=1,O144+ROW()*0.000000001,"")</f>
        <v/>
      </c>
      <c r="T144" s="39" t="str">
        <f>IF(O144&gt;0,INDEX(Calc!$B$4:$B$11,MATCH(MAX(G144:N144),G144:N144,0)),"-")</f>
        <v>Cane Trash</v>
      </c>
    </row>
    <row r="145" spans="1:20">
      <c r="A145" s="39">
        <v>142</v>
      </c>
      <c r="B145" s="39" t="s">
        <v>193</v>
      </c>
      <c r="C145" s="39" t="s">
        <v>209</v>
      </c>
      <c r="D145" s="39" t="str">
        <f>B145&amp;"|"&amp;C145</f>
        <v>Chhattisgarh|Khairagarh-Chhuikhadan-Gandai</v>
      </c>
      <c r="E145" s="40">
        <v>21.42</v>
      </c>
      <c r="F145" s="40">
        <v>80.98</v>
      </c>
      <c r="G145" s="41">
        <v>0</v>
      </c>
      <c r="H145" s="41">
        <v>0</v>
      </c>
      <c r="I145" s="41">
        <v>1.7707999999999999</v>
      </c>
      <c r="J145" s="41">
        <v>6.1199999999999997E-2</v>
      </c>
      <c r="K145" s="41">
        <v>3.1899999999999998E-2</v>
      </c>
      <c r="L145" s="41">
        <v>3.7000000000000002E-3</v>
      </c>
      <c r="M145" s="41">
        <v>10.4055</v>
      </c>
      <c r="N145" s="41">
        <v>0</v>
      </c>
      <c r="O145" s="42">
        <f>SUM(G145:N145)</f>
        <v>12.273099999999999</v>
      </c>
      <c r="P145" s="42">
        <f>SUMPRODUCT(G145:N145,$G$2:$N$2)*1000/Assumptions!$C$15</f>
        <v>3.8352957967741927</v>
      </c>
      <c r="Q145" s="43">
        <f>IF(ISNUMBER(Finder!$G$5),Finder!$D$8*Assumptions!$C$16*2*ASIN(SQRT(SIN(RADIANS(E145-Finder!$G$5)/2)^2+COS(RADIANS(Finder!$G$5))*COS(RADIANS(E145))*SIN(RADIANS(F145-Finder!$G$6)/2)^2)),"")</f>
        <v>1008.8315416302439</v>
      </c>
      <c r="R145" s="39">
        <f>IF(ISNUMBER(Q145),IF(Q145&lt;=Finder!$D$7,1,0),0)</f>
        <v>0</v>
      </c>
      <c r="S145" s="39" t="str">
        <f>IF(R145=1,O145+ROW()*0.000000001,"")</f>
        <v/>
      </c>
      <c r="T145" s="39" t="str">
        <f>IF(O145&gt;0,INDEX(Calc!$B$4:$B$11,MATCH(MAX(G145:N145),G145:N145,0)),"-")</f>
        <v>Soya Trash</v>
      </c>
    </row>
    <row r="146" spans="1:20">
      <c r="A146" s="39">
        <v>143</v>
      </c>
      <c r="B146" s="39" t="s">
        <v>193</v>
      </c>
      <c r="C146" s="39" t="s">
        <v>210</v>
      </c>
      <c r="D146" s="39" t="str">
        <f>B146&amp;"|"&amp;C146</f>
        <v>Chhattisgarh|Kondagaon</v>
      </c>
      <c r="E146" s="40">
        <v>19.59</v>
      </c>
      <c r="F146" s="40">
        <v>81.66</v>
      </c>
      <c r="G146" s="41">
        <v>0</v>
      </c>
      <c r="H146" s="41">
        <v>0</v>
      </c>
      <c r="I146" s="41">
        <v>40.695900000000002</v>
      </c>
      <c r="J146" s="41">
        <v>8.6E-3</v>
      </c>
      <c r="K146" s="41">
        <v>1.6000000000000001E-3</v>
      </c>
      <c r="L146" s="41">
        <v>2.0000000000000001E-4</v>
      </c>
      <c r="M146" s="41">
        <v>0</v>
      </c>
      <c r="N146" s="41">
        <v>0</v>
      </c>
      <c r="O146" s="42">
        <f>SUM(G146:N146)</f>
        <v>40.706300000000006</v>
      </c>
      <c r="P146" s="42">
        <f>SUMPRODUCT(G146:N146,$G$2:$N$2)*1000/Assumptions!$C$15</f>
        <v>11.975047850439886</v>
      </c>
      <c r="Q146" s="43">
        <f>IF(ISNUMBER(Finder!$G$5),Finder!$D$8*Assumptions!$C$16*2*ASIN(SQRT(SIN(RADIANS(E146-Finder!$G$5)/2)^2+COS(RADIANS(Finder!$G$5))*COS(RADIANS(E146))*SIN(RADIANS(F146-Finder!$G$6)/2)^2)),"")</f>
        <v>1220.8950148428873</v>
      </c>
      <c r="R146" s="39">
        <f>IF(ISNUMBER(Q146),IF(Q146&lt;=Finder!$D$7,1,0),0)</f>
        <v>0</v>
      </c>
      <c r="S146" s="39" t="str">
        <f>IF(R146=1,O146+ROW()*0.000000001,"")</f>
        <v/>
      </c>
      <c r="T146" s="39" t="str">
        <f>IF(O146&gt;0,INDEX(Calc!$B$4:$B$11,MATCH(MAX(G146:N146),G146:N146,0)),"-")</f>
        <v>Maize Stover</v>
      </c>
    </row>
    <row r="147" spans="1:20">
      <c r="A147" s="39">
        <v>144</v>
      </c>
      <c r="B147" s="39" t="s">
        <v>193</v>
      </c>
      <c r="C147" s="39" t="s">
        <v>211</v>
      </c>
      <c r="D147" s="39" t="str">
        <f>B147&amp;"|"&amp;C147</f>
        <v>Chhattisgarh|Korba</v>
      </c>
      <c r="E147" s="40">
        <v>22.35</v>
      </c>
      <c r="F147" s="40">
        <v>82.68</v>
      </c>
      <c r="G147" s="41">
        <v>0</v>
      </c>
      <c r="H147" s="41">
        <v>0</v>
      </c>
      <c r="I147" s="41">
        <v>2.8875000000000002</v>
      </c>
      <c r="J147" s="41">
        <v>1.84E-2</v>
      </c>
      <c r="K147" s="41">
        <v>0</v>
      </c>
      <c r="L147" s="41">
        <v>0</v>
      </c>
      <c r="M147" s="41">
        <v>0</v>
      </c>
      <c r="N147" s="41">
        <v>0</v>
      </c>
      <c r="O147" s="42">
        <f>SUM(G147:N147)</f>
        <v>2.9059000000000004</v>
      </c>
      <c r="P147" s="42">
        <f>SUMPRODUCT(G147:N147,$G$2:$N$2)*1000/Assumptions!$C$15</f>
        <v>0.85486294545454533</v>
      </c>
      <c r="Q147" s="43">
        <f>IF(ISNUMBER(Finder!$G$5),Finder!$D$8*Assumptions!$C$16*2*ASIN(SQRT(SIN(RADIANS(E147-Finder!$G$5)/2)^2+COS(RADIANS(Finder!$G$5))*COS(RADIANS(E147))*SIN(RADIANS(F147-Finder!$G$6)/2)^2)),"")</f>
        <v>1027.8831313412118</v>
      </c>
      <c r="R147" s="39">
        <f>IF(ISNUMBER(Q147),IF(Q147&lt;=Finder!$D$7,1,0),0)</f>
        <v>0</v>
      </c>
      <c r="S147" s="39" t="str">
        <f>IF(R147=1,O147+ROW()*0.000000001,"")</f>
        <v/>
      </c>
      <c r="T147" s="39" t="str">
        <f>IF(O147&gt;0,INDEX(Calc!$B$4:$B$11,MATCH(MAX(G147:N147),G147:N147,0)),"-")</f>
        <v>Maize Stover</v>
      </c>
    </row>
    <row r="148" spans="1:20">
      <c r="A148" s="39">
        <v>145</v>
      </c>
      <c r="B148" s="39" t="s">
        <v>193</v>
      </c>
      <c r="C148" s="39" t="s">
        <v>212</v>
      </c>
      <c r="D148" s="39" t="str">
        <f>B148&amp;"|"&amp;C148</f>
        <v>Chhattisgarh|Korea</v>
      </c>
      <c r="E148" s="40">
        <v>23.26</v>
      </c>
      <c r="F148" s="40">
        <v>82.56</v>
      </c>
      <c r="G148" s="41">
        <v>0</v>
      </c>
      <c r="H148" s="41">
        <v>0</v>
      </c>
      <c r="I148" s="41">
        <v>3.35</v>
      </c>
      <c r="J148" s="41">
        <v>0.30199999999999999</v>
      </c>
      <c r="K148" s="41">
        <v>0</v>
      </c>
      <c r="L148" s="41">
        <v>0</v>
      </c>
      <c r="M148" s="41">
        <v>0</v>
      </c>
      <c r="N148" s="41">
        <v>0</v>
      </c>
      <c r="O148" s="42">
        <f>SUM(G148:N148)</f>
        <v>3.6520000000000001</v>
      </c>
      <c r="P148" s="42">
        <f>SUMPRODUCT(G148:N148,$G$2:$N$2)*1000/Assumptions!$C$15</f>
        <v>1.0743520000000002</v>
      </c>
      <c r="Q148" s="43">
        <f>IF(ISNUMBER(Finder!$G$5),Finder!$D$8*Assumptions!$C$16*2*ASIN(SQRT(SIN(RADIANS(E148-Finder!$G$5)/2)^2+COS(RADIANS(Finder!$G$5))*COS(RADIANS(E148))*SIN(RADIANS(F148-Finder!$G$6)/2)^2)),"")</f>
        <v>945.40947779317185</v>
      </c>
      <c r="R148" s="39">
        <f>IF(ISNUMBER(Q148),IF(Q148&lt;=Finder!$D$7,1,0),0)</f>
        <v>0</v>
      </c>
      <c r="S148" s="39" t="str">
        <f>IF(R148=1,O148+ROW()*0.000000001,"")</f>
        <v/>
      </c>
      <c r="T148" s="39" t="str">
        <f>IF(O148&gt;0,INDEX(Calc!$B$4:$B$11,MATCH(MAX(G148:N148),G148:N148,0)),"-")</f>
        <v>Maize Stover</v>
      </c>
    </row>
    <row r="149" spans="1:20">
      <c r="A149" s="39">
        <v>146</v>
      </c>
      <c r="B149" s="39" t="s">
        <v>193</v>
      </c>
      <c r="C149" s="39" t="s">
        <v>213</v>
      </c>
      <c r="D149" s="39" t="str">
        <f>B149&amp;"|"&amp;C149</f>
        <v>Chhattisgarh|Mahasamund</v>
      </c>
      <c r="E149" s="40">
        <v>21.11</v>
      </c>
      <c r="F149" s="40">
        <v>82.1</v>
      </c>
      <c r="G149" s="41">
        <v>0</v>
      </c>
      <c r="H149" s="41">
        <v>0</v>
      </c>
      <c r="I149" s="41">
        <v>8.2900000000000001E-2</v>
      </c>
      <c r="J149" s="41">
        <v>3.8600000000000002E-2</v>
      </c>
      <c r="K149" s="41">
        <v>1.6000000000000001E-3</v>
      </c>
      <c r="L149" s="41">
        <v>2.0000000000000001E-4</v>
      </c>
      <c r="M149" s="41">
        <v>2.5999999999999999E-3</v>
      </c>
      <c r="N149" s="41">
        <v>0</v>
      </c>
      <c r="O149" s="42">
        <f>SUM(G149:N149)</f>
        <v>0.12590000000000001</v>
      </c>
      <c r="P149" s="42">
        <f>SUMPRODUCT(G149:N149,$G$2:$N$2)*1000/Assumptions!$C$15</f>
        <v>3.7088174193548387E-2</v>
      </c>
      <c r="Q149" s="43">
        <f>IF(ISNUMBER(Finder!$G$5),Finder!$D$8*Assumptions!$C$16*2*ASIN(SQRT(SIN(RADIANS(E149-Finder!$G$5)/2)^2+COS(RADIANS(Finder!$G$5))*COS(RADIANS(E149))*SIN(RADIANS(F149-Finder!$G$6)/2)^2)),"")</f>
        <v>1100.2559694157908</v>
      </c>
      <c r="R149" s="39">
        <f>IF(ISNUMBER(Q149),IF(Q149&lt;=Finder!$D$7,1,0),0)</f>
        <v>0</v>
      </c>
      <c r="S149" s="39" t="str">
        <f>IF(R149=1,O149+ROW()*0.000000001,"")</f>
        <v/>
      </c>
      <c r="T149" s="39" t="str">
        <f>IF(O149&gt;0,INDEX(Calc!$B$4:$B$11,MATCH(MAX(G149:N149),G149:N149,0)),"-")</f>
        <v>Maize Stover</v>
      </c>
    </row>
    <row r="150" spans="1:20">
      <c r="A150" s="39">
        <v>147</v>
      </c>
      <c r="B150" s="39" t="s">
        <v>193</v>
      </c>
      <c r="C150" s="39" t="s">
        <v>214</v>
      </c>
      <c r="D150" s="39" t="str">
        <f>B150&amp;"|"&amp;C150</f>
        <v>Chhattisgarh|Manendragarh-Chirmiri-Bharatpur(M C B)</v>
      </c>
      <c r="E150" s="40">
        <v>23.2</v>
      </c>
      <c r="F150" s="40">
        <v>82.35</v>
      </c>
      <c r="G150" s="41">
        <v>0</v>
      </c>
      <c r="H150" s="41">
        <v>0</v>
      </c>
      <c r="I150" s="41">
        <v>3.4036</v>
      </c>
      <c r="J150" s="41">
        <v>0.34050000000000002</v>
      </c>
      <c r="K150" s="41">
        <v>0</v>
      </c>
      <c r="L150" s="41">
        <v>0</v>
      </c>
      <c r="M150" s="41">
        <v>0</v>
      </c>
      <c r="N150" s="41">
        <v>0</v>
      </c>
      <c r="O150" s="42">
        <f>SUM(G150:N150)</f>
        <v>3.7441</v>
      </c>
      <c r="P150" s="42">
        <f>SUMPRODUCT(G150:N150,$G$2:$N$2)*1000/Assumptions!$C$15</f>
        <v>1.1014461454545457</v>
      </c>
      <c r="Q150" s="43">
        <f>IF(ISNUMBER(Finder!$G$5),Finder!$D$8*Assumptions!$C$16*2*ASIN(SQRT(SIN(RADIANS(E150-Finder!$G$5)/2)^2+COS(RADIANS(Finder!$G$5))*COS(RADIANS(E150))*SIN(RADIANS(F150-Finder!$G$6)/2)^2)),"")</f>
        <v>935.25162177103721</v>
      </c>
      <c r="R150" s="39">
        <f>IF(ISNUMBER(Q150),IF(Q150&lt;=Finder!$D$7,1,0),0)</f>
        <v>0</v>
      </c>
      <c r="S150" s="39" t="str">
        <f>IF(R150=1,O150+ROW()*0.000000001,"")</f>
        <v/>
      </c>
      <c r="T150" s="39" t="str">
        <f>IF(O150&gt;0,INDEX(Calc!$B$4:$B$11,MATCH(MAX(G150:N150),G150:N150,0)),"-")</f>
        <v>Maize Stover</v>
      </c>
    </row>
    <row r="151" spans="1:20">
      <c r="A151" s="39">
        <v>148</v>
      </c>
      <c r="B151" s="39" t="s">
        <v>193</v>
      </c>
      <c r="C151" s="39" t="s">
        <v>215</v>
      </c>
      <c r="D151" s="39" t="str">
        <f>B151&amp;"|"&amp;C151</f>
        <v>Chhattisgarh|Mohla-Manpur-Ambagarh Chouki</v>
      </c>
      <c r="E151" s="40">
        <v>20.6</v>
      </c>
      <c r="F151" s="40">
        <v>80.73</v>
      </c>
      <c r="G151" s="41">
        <v>0</v>
      </c>
      <c r="H151" s="41">
        <v>0</v>
      </c>
      <c r="I151" s="41">
        <v>3.7763</v>
      </c>
      <c r="J151" s="41">
        <v>1.29E-2</v>
      </c>
      <c r="K151" s="41">
        <v>0</v>
      </c>
      <c r="L151" s="41">
        <v>0</v>
      </c>
      <c r="M151" s="41">
        <v>0</v>
      </c>
      <c r="N151" s="41">
        <v>0</v>
      </c>
      <c r="O151" s="42">
        <f>SUM(G151:N151)</f>
        <v>3.7892000000000001</v>
      </c>
      <c r="P151" s="42">
        <f>SUMPRODUCT(G151:N151,$G$2:$N$2)*1000/Assumptions!$C$15</f>
        <v>1.1147137454545457</v>
      </c>
      <c r="Q151" s="43">
        <f>IF(ISNUMBER(Finder!$G$5),Finder!$D$8*Assumptions!$C$16*2*ASIN(SQRT(SIN(RADIANS(E151-Finder!$G$5)/2)^2+COS(RADIANS(Finder!$G$5))*COS(RADIANS(E151))*SIN(RADIANS(F151-Finder!$G$6)/2)^2)),"")</f>
        <v>1076.3299978010193</v>
      </c>
      <c r="R151" s="39">
        <f>IF(ISNUMBER(Q151),IF(Q151&lt;=Finder!$D$7,1,0),0)</f>
        <v>0</v>
      </c>
      <c r="S151" s="39" t="str">
        <f>IF(R151=1,O151+ROW()*0.000000001,"")</f>
        <v/>
      </c>
      <c r="T151" s="39" t="str">
        <f>IF(O151&gt;0,INDEX(Calc!$B$4:$B$11,MATCH(MAX(G151:N151),G151:N151,0)),"-")</f>
        <v>Maize Stover</v>
      </c>
    </row>
    <row r="152" spans="1:20">
      <c r="A152" s="39">
        <v>149</v>
      </c>
      <c r="B152" s="39" t="s">
        <v>193</v>
      </c>
      <c r="C152" s="39" t="s">
        <v>216</v>
      </c>
      <c r="D152" s="39" t="str">
        <f>B152&amp;"|"&amp;C152</f>
        <v>Chhattisgarh|Mungeli</v>
      </c>
      <c r="E152" s="40">
        <v>22.07</v>
      </c>
      <c r="F152" s="40">
        <v>81.69</v>
      </c>
      <c r="G152" s="41">
        <v>0</v>
      </c>
      <c r="H152" s="41">
        <v>0</v>
      </c>
      <c r="I152" s="41">
        <v>2.47E-2</v>
      </c>
      <c r="J152" s="41">
        <v>1.29E-2</v>
      </c>
      <c r="K152" s="41">
        <v>0.50529999999999997</v>
      </c>
      <c r="L152" s="41">
        <v>5.8900000000000001E-2</v>
      </c>
      <c r="M152" s="41">
        <v>0.30709999999999998</v>
      </c>
      <c r="N152" s="41">
        <v>0</v>
      </c>
      <c r="O152" s="42">
        <f>SUM(G152:N152)</f>
        <v>0.90889999999999982</v>
      </c>
      <c r="P152" s="42">
        <f>SUMPRODUCT(G152:N152,$G$2:$N$2)*1000/Assumptions!$C$15</f>
        <v>0.27302989413489737</v>
      </c>
      <c r="Q152" s="43">
        <f>IF(ISNUMBER(Finder!$G$5),Finder!$D$8*Assumptions!$C$16*2*ASIN(SQRT(SIN(RADIANS(E152-Finder!$G$5)/2)^2+COS(RADIANS(Finder!$G$5))*COS(RADIANS(E152))*SIN(RADIANS(F152-Finder!$G$6)/2)^2)),"")</f>
        <v>988.57922851850469</v>
      </c>
      <c r="R152" s="39">
        <f>IF(ISNUMBER(Q152),IF(Q152&lt;=Finder!$D$7,1,0),0)</f>
        <v>0</v>
      </c>
      <c r="S152" s="39" t="str">
        <f>IF(R152=1,O152+ROW()*0.000000001,"")</f>
        <v/>
      </c>
      <c r="T152" s="39" t="str">
        <f>IF(O152&gt;0,INDEX(Calc!$B$4:$B$11,MATCH(MAX(G152:N152),G152:N152,0)),"-")</f>
        <v>Cane Trash</v>
      </c>
    </row>
    <row r="153" spans="1:20">
      <c r="A153" s="39">
        <v>150</v>
      </c>
      <c r="B153" s="39" t="s">
        <v>193</v>
      </c>
      <c r="C153" s="39" t="s">
        <v>217</v>
      </c>
      <c r="D153" s="39" t="str">
        <f>B153&amp;"|"&amp;C153</f>
        <v>Chhattisgarh|Narayanpur</v>
      </c>
      <c r="E153" s="40">
        <v>19.72</v>
      </c>
      <c r="F153" s="40">
        <v>81.25</v>
      </c>
      <c r="G153" s="41">
        <v>0</v>
      </c>
      <c r="H153" s="41">
        <v>0</v>
      </c>
      <c r="I153" s="41">
        <v>1.0904</v>
      </c>
      <c r="J153" s="41">
        <v>6.7000000000000002E-3</v>
      </c>
      <c r="K153" s="41">
        <v>5.0000000000000001E-4</v>
      </c>
      <c r="L153" s="41">
        <v>1E-4</v>
      </c>
      <c r="M153" s="41">
        <v>0</v>
      </c>
      <c r="N153" s="41">
        <v>0</v>
      </c>
      <c r="O153" s="42">
        <f>SUM(G153:N153)</f>
        <v>1.0976999999999999</v>
      </c>
      <c r="P153" s="42">
        <f>SUMPRODUCT(G153:N153,$G$2:$N$2)*1000/Assumptions!$C$15</f>
        <v>0.32291508475073316</v>
      </c>
      <c r="Q153" s="43">
        <f>IF(ISNUMBER(Finder!$G$5),Finder!$D$8*Assumptions!$C$16*2*ASIN(SQRT(SIN(RADIANS(E153-Finder!$G$5)/2)^2+COS(RADIANS(Finder!$G$5))*COS(RADIANS(E153))*SIN(RADIANS(F153-Finder!$G$6)/2)^2)),"")</f>
        <v>1188.1571821053847</v>
      </c>
      <c r="R153" s="39">
        <f>IF(ISNUMBER(Q153),IF(Q153&lt;=Finder!$D$7,1,0),0)</f>
        <v>0</v>
      </c>
      <c r="S153" s="39" t="str">
        <f>IF(R153=1,O153+ROW()*0.000000001,"")</f>
        <v/>
      </c>
      <c r="T153" s="39" t="str">
        <f>IF(O153&gt;0,INDEX(Calc!$B$4:$B$11,MATCH(MAX(G153:N153),G153:N153,0)),"-")</f>
        <v>Maize Stover</v>
      </c>
    </row>
    <row r="154" spans="1:20">
      <c r="A154" s="39">
        <v>151</v>
      </c>
      <c r="B154" s="39" t="s">
        <v>193</v>
      </c>
      <c r="C154" s="39" t="s">
        <v>218</v>
      </c>
      <c r="D154" s="39" t="str">
        <f>B154&amp;"|"&amp;C154</f>
        <v>Chhattisgarh|Raigarh</v>
      </c>
      <c r="E154" s="40">
        <v>21.9</v>
      </c>
      <c r="F154" s="40">
        <v>83.4</v>
      </c>
      <c r="G154" s="41">
        <v>0</v>
      </c>
      <c r="H154" s="41">
        <v>0</v>
      </c>
      <c r="I154" s="41">
        <v>2.6796000000000002</v>
      </c>
      <c r="J154" s="41">
        <v>0.3412</v>
      </c>
      <c r="K154" s="41">
        <v>0</v>
      </c>
      <c r="L154" s="41">
        <v>0</v>
      </c>
      <c r="M154" s="41">
        <v>0</v>
      </c>
      <c r="N154" s="41">
        <v>0</v>
      </c>
      <c r="O154" s="42">
        <f>SUM(G154:N154)</f>
        <v>3.0208000000000004</v>
      </c>
      <c r="P154" s="42">
        <f>SUMPRODUCT(G154:N154,$G$2:$N$2)*1000/Assumptions!$C$15</f>
        <v>0.88866443636363646</v>
      </c>
      <c r="Q154" s="43">
        <f>IF(ISNUMBER(Finder!$G$5),Finder!$D$8*Assumptions!$C$16*2*ASIN(SQRT(SIN(RADIANS(E154-Finder!$G$5)/2)^2+COS(RADIANS(Finder!$G$5))*COS(RADIANS(E154))*SIN(RADIANS(F154-Finder!$G$6)/2)^2)),"")</f>
        <v>1114.5686854337184</v>
      </c>
      <c r="R154" s="39">
        <f>IF(ISNUMBER(Q154),IF(Q154&lt;=Finder!$D$7,1,0),0)</f>
        <v>0</v>
      </c>
      <c r="S154" s="39" t="str">
        <f>IF(R154=1,O154+ROW()*0.000000001,"")</f>
        <v/>
      </c>
      <c r="T154" s="39" t="str">
        <f>IF(O154&gt;0,INDEX(Calc!$B$4:$B$11,MATCH(MAX(G154:N154),G154:N154,0)),"-")</f>
        <v>Maize Stover</v>
      </c>
    </row>
    <row r="155" spans="1:20">
      <c r="A155" s="39">
        <v>152</v>
      </c>
      <c r="B155" s="39" t="s">
        <v>193</v>
      </c>
      <c r="C155" s="39" t="s">
        <v>219</v>
      </c>
      <c r="D155" s="39" t="str">
        <f>B155&amp;"|"&amp;C155</f>
        <v>Chhattisgarh|Raipur</v>
      </c>
      <c r="E155" s="40">
        <v>21.25</v>
      </c>
      <c r="F155" s="40">
        <v>81.63</v>
      </c>
      <c r="G155" s="41">
        <v>0</v>
      </c>
      <c r="H155" s="41">
        <v>0</v>
      </c>
      <c r="I155" s="41">
        <v>0.67149999999999999</v>
      </c>
      <c r="J155" s="41">
        <v>0.97270000000000001</v>
      </c>
      <c r="K155" s="41">
        <v>4.7500000000000001E-2</v>
      </c>
      <c r="L155" s="41">
        <v>5.4999999999999997E-3</v>
      </c>
      <c r="M155" s="41">
        <v>5.9499999999999997E-2</v>
      </c>
      <c r="N155" s="41">
        <v>0</v>
      </c>
      <c r="O155" s="42">
        <f>SUM(G155:N155)</f>
        <v>1.7567000000000004</v>
      </c>
      <c r="P155" s="42">
        <f>SUMPRODUCT(G155:N155,$G$2:$N$2)*1000/Assumptions!$C$15</f>
        <v>0.51798845073313793</v>
      </c>
      <c r="Q155" s="43">
        <f>IF(ISNUMBER(Finder!$G$5),Finder!$D$8*Assumptions!$C$16*2*ASIN(SQRT(SIN(RADIANS(E155-Finder!$G$5)/2)^2+COS(RADIANS(Finder!$G$5))*COS(RADIANS(E155))*SIN(RADIANS(F155-Finder!$G$6)/2)^2)),"")</f>
        <v>1060.3004880937397</v>
      </c>
      <c r="R155" s="39">
        <f>IF(ISNUMBER(Q155),IF(Q155&lt;=Finder!$D$7,1,0),0)</f>
        <v>0</v>
      </c>
      <c r="S155" s="39" t="str">
        <f>IF(R155=1,O155+ROW()*0.000000001,"")</f>
        <v/>
      </c>
      <c r="T155" s="39" t="str">
        <f>IF(O155&gt;0,INDEX(Calc!$B$4:$B$11,MATCH(MAX(G155:N155),G155:N155,0)),"-")</f>
        <v>Mustard Stalk</v>
      </c>
    </row>
    <row r="156" spans="1:20">
      <c r="A156" s="39">
        <v>153</v>
      </c>
      <c r="B156" s="39" t="s">
        <v>193</v>
      </c>
      <c r="C156" s="39" t="s">
        <v>220</v>
      </c>
      <c r="D156" s="39" t="str">
        <f>B156&amp;"|"&amp;C156</f>
        <v>Chhattisgarh|Rajnandgaon</v>
      </c>
      <c r="E156" s="40">
        <v>21.1</v>
      </c>
      <c r="F156" s="40">
        <v>81.03</v>
      </c>
      <c r="G156" s="41">
        <v>0</v>
      </c>
      <c r="H156" s="41">
        <v>0</v>
      </c>
      <c r="I156" s="41">
        <v>0.40160000000000001</v>
      </c>
      <c r="J156" s="41">
        <v>0.1452</v>
      </c>
      <c r="K156" s="41">
        <v>9.4999999999999998E-3</v>
      </c>
      <c r="L156" s="41">
        <v>1.1000000000000001E-3</v>
      </c>
      <c r="M156" s="41">
        <v>2.2749999999999999</v>
      </c>
      <c r="N156" s="41">
        <v>0</v>
      </c>
      <c r="O156" s="42">
        <f>SUM(G156:N156)</f>
        <v>2.8323999999999998</v>
      </c>
      <c r="P156" s="42">
        <f>SUMPRODUCT(G156:N156,$G$2:$N$2)*1000/Assumptions!$C$15</f>
        <v>0.88237931994134899</v>
      </c>
      <c r="Q156" s="43">
        <f>IF(ISNUMBER(Finder!$G$5),Finder!$D$8*Assumptions!$C$16*2*ASIN(SQRT(SIN(RADIANS(E156-Finder!$G$5)/2)^2+COS(RADIANS(Finder!$G$5))*COS(RADIANS(E156))*SIN(RADIANS(F156-Finder!$G$6)/2)^2)),"")</f>
        <v>1042.2069644166054</v>
      </c>
      <c r="R156" s="39">
        <f>IF(ISNUMBER(Q156),IF(Q156&lt;=Finder!$D$7,1,0),0)</f>
        <v>0</v>
      </c>
      <c r="S156" s="39" t="str">
        <f>IF(R156=1,O156+ROW()*0.000000001,"")</f>
        <v/>
      </c>
      <c r="T156" s="39" t="str">
        <f>IF(O156&gt;0,INDEX(Calc!$B$4:$B$11,MATCH(MAX(G156:N156),G156:N156,0)),"-")</f>
        <v>Soya Trash</v>
      </c>
    </row>
    <row r="157" spans="1:20">
      <c r="A157" s="39">
        <v>154</v>
      </c>
      <c r="B157" s="39" t="s">
        <v>193</v>
      </c>
      <c r="C157" s="39" t="s">
        <v>221</v>
      </c>
      <c r="D157" s="39" t="str">
        <f>B157&amp;"|"&amp;C157</f>
        <v>Chhattisgarh|Sakti</v>
      </c>
      <c r="E157" s="40">
        <v>22.03</v>
      </c>
      <c r="F157" s="40">
        <v>82.96</v>
      </c>
      <c r="G157" s="41">
        <v>0</v>
      </c>
      <c r="H157" s="41">
        <v>0</v>
      </c>
      <c r="I157" s="41">
        <v>0.2</v>
      </c>
      <c r="J157" s="41">
        <v>0.106</v>
      </c>
      <c r="K157" s="41">
        <v>2.7000000000000001E-3</v>
      </c>
      <c r="L157" s="41">
        <v>2.9999999999999997E-4</v>
      </c>
      <c r="M157" s="41">
        <v>0</v>
      </c>
      <c r="N157" s="41">
        <v>0</v>
      </c>
      <c r="O157" s="42">
        <f>SUM(G157:N157)</f>
        <v>0.309</v>
      </c>
      <c r="P157" s="42">
        <f>SUMPRODUCT(G157:N157,$G$2:$N$2)*1000/Assumptions!$C$15</f>
        <v>9.0899488856304986E-2</v>
      </c>
      <c r="Q157" s="43">
        <f>IF(ISNUMBER(Finder!$G$5),Finder!$D$8*Assumptions!$C$16*2*ASIN(SQRT(SIN(RADIANS(E157-Finder!$G$5)/2)^2+COS(RADIANS(Finder!$G$5))*COS(RADIANS(E157))*SIN(RADIANS(F157-Finder!$G$6)/2)^2)),"")</f>
        <v>1073.6476202324111</v>
      </c>
      <c r="R157" s="39">
        <f>IF(ISNUMBER(Q157),IF(Q157&lt;=Finder!$D$7,1,0),0)</f>
        <v>0</v>
      </c>
      <c r="S157" s="39" t="str">
        <f>IF(R157=1,O157+ROW()*0.000000001,"")</f>
        <v/>
      </c>
      <c r="T157" s="39" t="str">
        <f>IF(O157&gt;0,INDEX(Calc!$B$4:$B$11,MATCH(MAX(G157:N157),G157:N157,0)),"-")</f>
        <v>Maize Stover</v>
      </c>
    </row>
    <row r="158" spans="1:20">
      <c r="A158" s="39">
        <v>155</v>
      </c>
      <c r="B158" s="39" t="s">
        <v>193</v>
      </c>
      <c r="C158" s="39" t="s">
        <v>222</v>
      </c>
      <c r="D158" s="39" t="str">
        <f>B158&amp;"|"&amp;C158</f>
        <v>Chhattisgarh|Sarangarh-Bilaigarh</v>
      </c>
      <c r="E158" s="40">
        <v>21.59</v>
      </c>
      <c r="F158" s="40">
        <v>83.08</v>
      </c>
      <c r="G158" s="41">
        <v>0</v>
      </c>
      <c r="H158" s="41">
        <v>0</v>
      </c>
      <c r="I158" s="41">
        <v>9.5000000000000001E-2</v>
      </c>
      <c r="J158" s="41">
        <v>0.1893</v>
      </c>
      <c r="K158" s="41">
        <v>1.5100000000000001E-2</v>
      </c>
      <c r="L158" s="41">
        <v>1.8E-3</v>
      </c>
      <c r="M158" s="41">
        <v>0</v>
      </c>
      <c r="N158" s="41">
        <v>0</v>
      </c>
      <c r="O158" s="42">
        <f>SUM(G158:N158)</f>
        <v>0.30120000000000002</v>
      </c>
      <c r="P158" s="42">
        <f>SUMPRODUCT(G158:N158,$G$2:$N$2)*1000/Assumptions!$C$15</f>
        <v>8.8571057478005866E-2</v>
      </c>
      <c r="Q158" s="43">
        <f>IF(ISNUMBER(Finder!$G$5),Finder!$D$8*Assumptions!$C$16*2*ASIN(SQRT(SIN(RADIANS(E158-Finder!$G$5)/2)^2+COS(RADIANS(Finder!$G$5))*COS(RADIANS(E158))*SIN(RADIANS(F158-Finder!$G$6)/2)^2)),"")</f>
        <v>1118.9327061062502</v>
      </c>
      <c r="R158" s="39">
        <f>IF(ISNUMBER(Q158),IF(Q158&lt;=Finder!$D$7,1,0),0)</f>
        <v>0</v>
      </c>
      <c r="S158" s="39" t="str">
        <f>IF(R158=1,O158+ROW()*0.000000001,"")</f>
        <v/>
      </c>
      <c r="T158" s="39" t="str">
        <f>IF(O158&gt;0,INDEX(Calc!$B$4:$B$11,MATCH(MAX(G158:N158),G158:N158,0)),"-")</f>
        <v>Mustard Stalk</v>
      </c>
    </row>
    <row r="159" spans="1:20">
      <c r="A159" s="39">
        <v>156</v>
      </c>
      <c r="B159" s="39" t="s">
        <v>193</v>
      </c>
      <c r="C159" s="39" t="s">
        <v>223</v>
      </c>
      <c r="D159" s="39" t="str">
        <f>B159&amp;"|"&amp;C159</f>
        <v>Chhattisgarh|Sukma</v>
      </c>
      <c r="E159" s="40">
        <v>18.39</v>
      </c>
      <c r="F159" s="40">
        <v>81.66</v>
      </c>
      <c r="G159" s="41">
        <v>0</v>
      </c>
      <c r="H159" s="41">
        <v>0</v>
      </c>
      <c r="I159" s="41">
        <v>2.5063</v>
      </c>
      <c r="J159" s="41">
        <v>6.1000000000000004E-3</v>
      </c>
      <c r="K159" s="41">
        <v>0</v>
      </c>
      <c r="L159" s="41">
        <v>0</v>
      </c>
      <c r="M159" s="41">
        <v>0</v>
      </c>
      <c r="N159" s="41">
        <v>0</v>
      </c>
      <c r="O159" s="42">
        <f>SUM(G159:N159)</f>
        <v>2.5124</v>
      </c>
      <c r="P159" s="42">
        <f>SUMPRODUCT(G159:N159,$G$2:$N$2)*1000/Assumptions!$C$15</f>
        <v>0.73910240000000005</v>
      </c>
      <c r="Q159" s="43">
        <f>IF(ISNUMBER(Finder!$G$5),Finder!$D$8*Assumptions!$C$16*2*ASIN(SQRT(SIN(RADIANS(E159-Finder!$G$5)/2)^2+COS(RADIANS(Finder!$G$5))*COS(RADIANS(E159))*SIN(RADIANS(F159-Finder!$G$6)/2)^2)),"")</f>
        <v>1339.8274267929346</v>
      </c>
      <c r="R159" s="39">
        <f>IF(ISNUMBER(Q159),IF(Q159&lt;=Finder!$D$7,1,0),0)</f>
        <v>0</v>
      </c>
      <c r="S159" s="39" t="str">
        <f>IF(R159=1,O159+ROW()*0.000000001,"")</f>
        <v/>
      </c>
      <c r="T159" s="39" t="str">
        <f>IF(O159&gt;0,INDEX(Calc!$B$4:$B$11,MATCH(MAX(G159:N159),G159:N159,0)),"-")</f>
        <v>Maize Stover</v>
      </c>
    </row>
    <row r="160" spans="1:20">
      <c r="A160" s="39">
        <v>157</v>
      </c>
      <c r="B160" s="39" t="s">
        <v>193</v>
      </c>
      <c r="C160" s="39" t="s">
        <v>224</v>
      </c>
      <c r="D160" s="39" t="str">
        <f>B160&amp;"|"&amp;C160</f>
        <v>Chhattisgarh|Surajpur</v>
      </c>
      <c r="E160" s="40">
        <v>23.22</v>
      </c>
      <c r="F160" s="40">
        <v>82.87</v>
      </c>
      <c r="G160" s="41">
        <v>0</v>
      </c>
      <c r="H160" s="41">
        <v>0</v>
      </c>
      <c r="I160" s="41">
        <v>16.785299999999999</v>
      </c>
      <c r="J160" s="41">
        <v>1.2126999999999999</v>
      </c>
      <c r="K160" s="41">
        <v>0.97960000000000003</v>
      </c>
      <c r="L160" s="41">
        <v>0.1143</v>
      </c>
      <c r="M160" s="41">
        <v>0</v>
      </c>
      <c r="N160" s="41">
        <v>0</v>
      </c>
      <c r="O160" s="42">
        <f>SUM(G160:N160)</f>
        <v>19.091899999999999</v>
      </c>
      <c r="P160" s="42">
        <f>SUMPRODUCT(G160:N160,$G$2:$N$2)*1000/Assumptions!$C$15</f>
        <v>5.6145555580645157</v>
      </c>
      <c r="Q160" s="43">
        <f>IF(ISNUMBER(Finder!$G$5),Finder!$D$8*Assumptions!$C$16*2*ASIN(SQRT(SIN(RADIANS(E160-Finder!$G$5)/2)^2+COS(RADIANS(Finder!$G$5))*COS(RADIANS(E160))*SIN(RADIANS(F160-Finder!$G$6)/2)^2)),"")</f>
        <v>971.02495849902039</v>
      </c>
      <c r="R160" s="39">
        <f>IF(ISNUMBER(Q160),IF(Q160&lt;=Finder!$D$7,1,0),0)</f>
        <v>0</v>
      </c>
      <c r="S160" s="39" t="str">
        <f>IF(R160=1,O160+ROW()*0.000000001,"")</f>
        <v/>
      </c>
      <c r="T160" s="39" t="str">
        <f>IF(O160&gt;0,INDEX(Calc!$B$4:$B$11,MATCH(MAX(G160:N160),G160:N160,0)),"-")</f>
        <v>Maize Stover</v>
      </c>
    </row>
    <row r="161" spans="1:20">
      <c r="A161" s="39">
        <v>158</v>
      </c>
      <c r="B161" s="39" t="s">
        <v>193</v>
      </c>
      <c r="C161" s="39" t="s">
        <v>225</v>
      </c>
      <c r="D161" s="39" t="str">
        <f>B161&amp;"|"&amp;C161</f>
        <v>Chhattisgarh|Surguja</v>
      </c>
      <c r="E161" s="40">
        <v>23.12</v>
      </c>
      <c r="F161" s="40">
        <v>83.2</v>
      </c>
      <c r="G161" s="41">
        <v>0</v>
      </c>
      <c r="H161" s="41">
        <v>0</v>
      </c>
      <c r="I161" s="41">
        <v>19.180299999999999</v>
      </c>
      <c r="J161" s="41">
        <v>1.5189999999999999</v>
      </c>
      <c r="K161" s="41">
        <v>1.5067999999999999</v>
      </c>
      <c r="L161" s="41">
        <v>0.17580000000000001</v>
      </c>
      <c r="M161" s="41">
        <v>0</v>
      </c>
      <c r="N161" s="41">
        <v>0</v>
      </c>
      <c r="O161" s="42">
        <f>SUM(G161:N161)</f>
        <v>22.381899999999995</v>
      </c>
      <c r="P161" s="42">
        <f>SUMPRODUCT(G161:N161,$G$2:$N$2)*1000/Assumptions!$C$15</f>
        <v>6.581375171260996</v>
      </c>
      <c r="Q161" s="43">
        <f>IF(ISNUMBER(Finder!$G$5),Finder!$D$8*Assumptions!$C$16*2*ASIN(SQRT(SIN(RADIANS(E161-Finder!$G$5)/2)^2+COS(RADIANS(Finder!$G$5))*COS(RADIANS(E161))*SIN(RADIANS(F161-Finder!$G$6)/2)^2)),"")</f>
        <v>1003.0441439829887</v>
      </c>
      <c r="R161" s="39">
        <f>IF(ISNUMBER(Q161),IF(Q161&lt;=Finder!$D$7,1,0),0)</f>
        <v>0</v>
      </c>
      <c r="S161" s="39" t="str">
        <f>IF(R161=1,O161+ROW()*0.000000001,"")</f>
        <v/>
      </c>
      <c r="T161" s="39" t="str">
        <f>IF(O161&gt;0,INDEX(Calc!$B$4:$B$11,MATCH(MAX(G161:N161),G161:N161,0)),"-")</f>
        <v>Maize Stover</v>
      </c>
    </row>
    <row r="162" spans="1:20">
      <c r="A162" s="39">
        <v>159</v>
      </c>
      <c r="B162" s="39" t="s">
        <v>193</v>
      </c>
      <c r="C162" s="39" t="s">
        <v>226</v>
      </c>
      <c r="D162" s="39" t="str">
        <f>B162&amp;"|"&amp;C162</f>
        <v>Chhattisgarh|Uttar Bastar Kanker</v>
      </c>
      <c r="E162" s="40">
        <v>20.27</v>
      </c>
      <c r="F162" s="40">
        <v>81.489999999999995</v>
      </c>
      <c r="G162" s="41">
        <v>0</v>
      </c>
      <c r="H162" s="41">
        <v>0</v>
      </c>
      <c r="I162" s="41">
        <v>11.9359</v>
      </c>
      <c r="J162" s="41">
        <v>1.35E-2</v>
      </c>
      <c r="K162" s="41">
        <v>2.2000000000000001E-3</v>
      </c>
      <c r="L162" s="41">
        <v>2.9999999999999997E-4</v>
      </c>
      <c r="M162" s="41">
        <v>1.0500000000000001E-2</v>
      </c>
      <c r="N162" s="41">
        <v>0</v>
      </c>
      <c r="O162" s="42">
        <f>SUM(G162:N162)</f>
        <v>11.962400000000001</v>
      </c>
      <c r="P162" s="42">
        <f>SUMPRODUCT(G162:N162,$G$2:$N$2)*1000/Assumptions!$C$15</f>
        <v>3.5193355134897359</v>
      </c>
      <c r="Q162" s="43">
        <f>IF(ISNUMBER(Finder!$G$5),Finder!$D$8*Assumptions!$C$16*2*ASIN(SQRT(SIN(RADIANS(E162-Finder!$G$5)/2)^2+COS(RADIANS(Finder!$G$5))*COS(RADIANS(E162))*SIN(RADIANS(F162-Finder!$G$6)/2)^2)),"")</f>
        <v>1146.0923870168469</v>
      </c>
      <c r="R162" s="39">
        <f>IF(ISNUMBER(Q162),IF(Q162&lt;=Finder!$D$7,1,0),0)</f>
        <v>0</v>
      </c>
      <c r="S162" s="39" t="str">
        <f>IF(R162=1,O162+ROW()*0.000000001,"")</f>
        <v/>
      </c>
      <c r="T162" s="39" t="str">
        <f>IF(O162&gt;0,INDEX(Calc!$B$4:$B$11,MATCH(MAX(G162:N162),G162:N162,0)),"-")</f>
        <v>Maize Stover</v>
      </c>
    </row>
    <row r="163" spans="1:20">
      <c r="A163" s="39">
        <v>160</v>
      </c>
      <c r="B163" s="39" t="s">
        <v>227</v>
      </c>
      <c r="C163" s="39" t="s">
        <v>228</v>
      </c>
      <c r="D163" s="39" t="str">
        <f>B163&amp;"|"&amp;C163</f>
        <v>Goa|North Goa</v>
      </c>
      <c r="E163" s="40">
        <v>15.55</v>
      </c>
      <c r="F163" s="40">
        <v>73.83</v>
      </c>
      <c r="G163" s="41">
        <v>5.46</v>
      </c>
      <c r="H163" s="41">
        <v>0</v>
      </c>
      <c r="I163" s="41">
        <v>0</v>
      </c>
      <c r="J163" s="41">
        <v>0</v>
      </c>
      <c r="K163" s="41">
        <v>0.29360000000000003</v>
      </c>
      <c r="L163" s="41">
        <v>3.4299999999999997E-2</v>
      </c>
      <c r="M163" s="41">
        <v>0</v>
      </c>
      <c r="N163" s="41">
        <v>0</v>
      </c>
      <c r="O163" s="42">
        <f>SUM(G163:N163)</f>
        <v>5.7878999999999996</v>
      </c>
      <c r="P163" s="42">
        <f>SUMPRODUCT(G163:N163,$G$2:$N$2)*1000/Assumptions!$C$15</f>
        <v>2.0972612120234602</v>
      </c>
      <c r="Q163" s="43">
        <f>IF(ISNUMBER(Finder!$G$5),Finder!$D$8*Assumptions!$C$16*2*ASIN(SQRT(SIN(RADIANS(E163-Finder!$G$5)/2)^2+COS(RADIANS(Finder!$G$5))*COS(RADIANS(E163))*SIN(RADIANS(F163-Finder!$G$6)/2)^2)),"")</f>
        <v>1524.6031359359206</v>
      </c>
      <c r="R163" s="39">
        <f>IF(ISNUMBER(Q163),IF(Q163&lt;=Finder!$D$7,1,0),0)</f>
        <v>0</v>
      </c>
      <c r="S163" s="39" t="str">
        <f>IF(R163=1,O163+ROW()*0.000000001,"")</f>
        <v/>
      </c>
      <c r="T163" s="39" t="str">
        <f>IF(O163&gt;0,INDEX(Calc!$B$4:$B$11,MATCH(MAX(G163:N163),G163:N163,0)),"-")</f>
        <v>Paddy Straw</v>
      </c>
    </row>
    <row r="164" spans="1:20">
      <c r="A164" s="39">
        <v>161</v>
      </c>
      <c r="B164" s="39" t="s">
        <v>227</v>
      </c>
      <c r="C164" s="39" t="s">
        <v>229</v>
      </c>
      <c r="D164" s="39" t="str">
        <f>B164&amp;"|"&amp;C164</f>
        <v>Goa|South Goa</v>
      </c>
      <c r="E164" s="40">
        <v>15.28</v>
      </c>
      <c r="F164" s="40">
        <v>74</v>
      </c>
      <c r="G164" s="41">
        <v>8.4</v>
      </c>
      <c r="H164" s="41">
        <v>0</v>
      </c>
      <c r="I164" s="41">
        <v>0</v>
      </c>
      <c r="J164" s="41">
        <v>0</v>
      </c>
      <c r="K164" s="41">
        <v>5.1966000000000001</v>
      </c>
      <c r="L164" s="41">
        <v>0.60629999999999995</v>
      </c>
      <c r="M164" s="41">
        <v>0</v>
      </c>
      <c r="N164" s="41">
        <v>0</v>
      </c>
      <c r="O164" s="42">
        <f>SUM(G164:N164)</f>
        <v>14.2029</v>
      </c>
      <c r="P164" s="42">
        <f>SUMPRODUCT(G164:N164,$G$2:$N$2)*1000/Assumptions!$C$15</f>
        <v>4.7759094466275656</v>
      </c>
      <c r="Q164" s="43">
        <f>IF(ISNUMBER(Finder!$G$5),Finder!$D$8*Assumptions!$C$16*2*ASIN(SQRT(SIN(RADIANS(E164-Finder!$G$5)/2)^2+COS(RADIANS(Finder!$G$5))*COS(RADIANS(E164))*SIN(RADIANS(F164-Finder!$G$6)/2)^2)),"")</f>
        <v>1552.3295970780487</v>
      </c>
      <c r="R164" s="39">
        <f>IF(ISNUMBER(Q164),IF(Q164&lt;=Finder!$D$7,1,0),0)</f>
        <v>0</v>
      </c>
      <c r="S164" s="39" t="str">
        <f>IF(R164=1,O164+ROW()*0.000000001,"")</f>
        <v/>
      </c>
      <c r="T164" s="39" t="str">
        <f>IF(O164&gt;0,INDEX(Calc!$B$4:$B$11,MATCH(MAX(G164:N164),G164:N164,0)),"-")</f>
        <v>Paddy Straw</v>
      </c>
    </row>
    <row r="165" spans="1:20">
      <c r="A165" s="39">
        <v>162</v>
      </c>
      <c r="B165" s="39" t="s">
        <v>230</v>
      </c>
      <c r="C165" s="39" t="s">
        <v>231</v>
      </c>
      <c r="D165" s="39" t="str">
        <f>B165&amp;"|"&amp;C165</f>
        <v>Gujarat|Ahmedabad</v>
      </c>
      <c r="E165" s="40">
        <v>23.02</v>
      </c>
      <c r="F165" s="40">
        <v>72.569999999999993</v>
      </c>
      <c r="G165" s="41">
        <v>81.900000000000006</v>
      </c>
      <c r="H165" s="41">
        <v>63.45</v>
      </c>
      <c r="I165" s="41">
        <v>0</v>
      </c>
      <c r="J165" s="41">
        <v>0.95240000000000002</v>
      </c>
      <c r="K165" s="41">
        <v>0</v>
      </c>
      <c r="L165" s="41">
        <v>0</v>
      </c>
      <c r="M165" s="41">
        <v>0.77090000000000003</v>
      </c>
      <c r="N165" s="41">
        <v>0</v>
      </c>
      <c r="O165" s="42">
        <f>SUM(G165:N165)</f>
        <v>147.07330000000005</v>
      </c>
      <c r="P165" s="42">
        <f>SUMPRODUCT(G165:N165,$G$2:$N$2)*1000/Assumptions!$C$15</f>
        <v>53.802280950146638</v>
      </c>
      <c r="Q165" s="43">
        <f>IF(ISNUMBER(Finder!$G$5),Finder!$D$8*Assumptions!$C$16*2*ASIN(SQRT(SIN(RADIANS(E165-Finder!$G$5)/2)^2+COS(RADIANS(Finder!$G$5))*COS(RADIANS(E165))*SIN(RADIANS(F165-Finder!$G$6)/2)^2)),"")</f>
        <v>750.60665012597951</v>
      </c>
      <c r="R165" s="39">
        <f>IF(ISNUMBER(Q165),IF(Q165&lt;=Finder!$D$7,1,0),0)</f>
        <v>0</v>
      </c>
      <c r="S165" s="39" t="str">
        <f>IF(R165=1,O165+ROW()*0.000000001,"")</f>
        <v/>
      </c>
      <c r="T165" s="39" t="str">
        <f>IF(O165&gt;0,INDEX(Calc!$B$4:$B$11,MATCH(MAX(G165:N165),G165:N165,0)),"-")</f>
        <v>Paddy Straw</v>
      </c>
    </row>
    <row r="166" spans="1:20">
      <c r="A166" s="39">
        <v>163</v>
      </c>
      <c r="B166" s="39" t="s">
        <v>230</v>
      </c>
      <c r="C166" s="39" t="s">
        <v>232</v>
      </c>
      <c r="D166" s="39" t="str">
        <f>B166&amp;"|"&amp;C166</f>
        <v>Gujarat|Amreli</v>
      </c>
      <c r="E166" s="40">
        <v>21.6</v>
      </c>
      <c r="F166" s="40">
        <v>71.22</v>
      </c>
      <c r="G166" s="41">
        <v>0</v>
      </c>
      <c r="H166" s="41">
        <v>18.899999999999999</v>
      </c>
      <c r="I166" s="41">
        <v>0.59740000000000004</v>
      </c>
      <c r="J166" s="41">
        <v>0.19839999999999999</v>
      </c>
      <c r="K166" s="41">
        <v>0</v>
      </c>
      <c r="L166" s="41">
        <v>0</v>
      </c>
      <c r="M166" s="41">
        <v>12.2973</v>
      </c>
      <c r="N166" s="41">
        <v>0</v>
      </c>
      <c r="O166" s="42">
        <f>SUM(G166:N166)</f>
        <v>31.993099999999998</v>
      </c>
      <c r="P166" s="42">
        <f>SUMPRODUCT(G166:N166,$G$2:$N$2)*1000/Assumptions!$C$15</f>
        <v>11.045335560117302</v>
      </c>
      <c r="Q166" s="43">
        <f>IF(ISNUMBER(Finder!$G$5),Finder!$D$8*Assumptions!$C$16*2*ASIN(SQRT(SIN(RADIANS(E166-Finder!$G$5)/2)^2+COS(RADIANS(Finder!$G$5))*COS(RADIANS(E166))*SIN(RADIANS(F166-Finder!$G$6)/2)^2)),"")</f>
        <v>953.24590685545763</v>
      </c>
      <c r="R166" s="39">
        <f>IF(ISNUMBER(Q166),IF(Q166&lt;=Finder!$D$7,1,0),0)</f>
        <v>0</v>
      </c>
      <c r="S166" s="39" t="str">
        <f>IF(R166=1,O166+ROW()*0.000000001,"")</f>
        <v/>
      </c>
      <c r="T166" s="39" t="str">
        <f>IF(O166&gt;0,INDEX(Calc!$B$4:$B$11,MATCH(MAX(G166:N166),G166:N166,0)),"-")</f>
        <v>Wheat Straw</v>
      </c>
    </row>
    <row r="167" spans="1:20">
      <c r="A167" s="39">
        <v>164</v>
      </c>
      <c r="B167" s="39" t="s">
        <v>230</v>
      </c>
      <c r="C167" s="39" t="s">
        <v>233</v>
      </c>
      <c r="D167" s="39" t="str">
        <f>B167&amp;"|"&amp;C167</f>
        <v>Gujarat|Anand</v>
      </c>
      <c r="E167" s="40">
        <v>22.56</v>
      </c>
      <c r="F167" s="40">
        <v>72.95</v>
      </c>
      <c r="G167" s="41">
        <v>60.06</v>
      </c>
      <c r="H167" s="41">
        <v>14.85</v>
      </c>
      <c r="I167" s="41">
        <v>6.5100000000000005E-2</v>
      </c>
      <c r="J167" s="41">
        <v>2.1823000000000001</v>
      </c>
      <c r="K167" s="41">
        <v>0</v>
      </c>
      <c r="L167" s="41">
        <v>0</v>
      </c>
      <c r="M167" s="41">
        <v>2.5399999999999999E-2</v>
      </c>
      <c r="N167" s="41">
        <v>0</v>
      </c>
      <c r="O167" s="42">
        <f>SUM(G167:N167)</f>
        <v>77.1828</v>
      </c>
      <c r="P167" s="42">
        <f>SUMPRODUCT(G167:N167,$G$2:$N$2)*1000/Assumptions!$C$15</f>
        <v>28.12774428739003</v>
      </c>
      <c r="Q167" s="43">
        <f>IF(ISNUMBER(Finder!$G$5),Finder!$D$8*Assumptions!$C$16*2*ASIN(SQRT(SIN(RADIANS(E167-Finder!$G$5)/2)^2+COS(RADIANS(Finder!$G$5))*COS(RADIANS(E167))*SIN(RADIANS(F167-Finder!$G$6)/2)^2)),"")</f>
        <v>783.35118912376447</v>
      </c>
      <c r="R167" s="39">
        <f>IF(ISNUMBER(Q167),IF(Q167&lt;=Finder!$D$7,1,0),0)</f>
        <v>0</v>
      </c>
      <c r="S167" s="39" t="str">
        <f>IF(R167=1,O167+ROW()*0.000000001,"")</f>
        <v/>
      </c>
      <c r="T167" s="39" t="str">
        <f>IF(O167&gt;0,INDEX(Calc!$B$4:$B$11,MATCH(MAX(G167:N167),G167:N167,0)),"-")</f>
        <v>Paddy Straw</v>
      </c>
    </row>
    <row r="168" spans="1:20">
      <c r="A168" s="39">
        <v>165</v>
      </c>
      <c r="B168" s="39" t="s">
        <v>230</v>
      </c>
      <c r="C168" s="39" t="s">
        <v>234</v>
      </c>
      <c r="D168" s="39" t="str">
        <f>B168&amp;"|"&amp;C168</f>
        <v>Gujarat|Arvalli</v>
      </c>
      <c r="E168" s="40">
        <v>23.46</v>
      </c>
      <c r="F168" s="40">
        <v>73.3</v>
      </c>
      <c r="G168" s="41">
        <v>0.42</v>
      </c>
      <c r="H168" s="41">
        <v>35.549999999999997</v>
      </c>
      <c r="I168" s="41">
        <v>114.38590000000001</v>
      </c>
      <c r="J168" s="41">
        <v>3.7522000000000002</v>
      </c>
      <c r="K168" s="41">
        <v>0</v>
      </c>
      <c r="L168" s="41">
        <v>0</v>
      </c>
      <c r="M168" s="41">
        <v>51.640700000000002</v>
      </c>
      <c r="N168" s="41">
        <v>0</v>
      </c>
      <c r="O168" s="42">
        <f>SUM(G168:N168)</f>
        <v>205.74880000000002</v>
      </c>
      <c r="P168" s="42">
        <f>SUMPRODUCT(G168:N168,$G$2:$N$2)*1000/Assumptions!$C$15</f>
        <v>64.246595097947207</v>
      </c>
      <c r="Q168" s="43">
        <f>IF(ISNUMBER(Finder!$G$5),Finder!$D$8*Assumptions!$C$16*2*ASIN(SQRT(SIN(RADIANS(E168-Finder!$G$5)/2)^2+COS(RADIANS(Finder!$G$5))*COS(RADIANS(E168))*SIN(RADIANS(F168-Finder!$G$6)/2)^2)),"")</f>
        <v>677.06268259444141</v>
      </c>
      <c r="R168" s="39">
        <f>IF(ISNUMBER(Q168),IF(Q168&lt;=Finder!$D$7,1,0),0)</f>
        <v>0</v>
      </c>
      <c r="S168" s="39" t="str">
        <f>IF(R168=1,O168+ROW()*0.000000001,"")</f>
        <v/>
      </c>
      <c r="T168" s="39" t="str">
        <f>IF(O168&gt;0,INDEX(Calc!$B$4:$B$11,MATCH(MAX(G168:N168),G168:N168,0)),"-")</f>
        <v>Maize Stover</v>
      </c>
    </row>
    <row r="169" spans="1:20">
      <c r="A169" s="39">
        <v>166</v>
      </c>
      <c r="B169" s="39" t="s">
        <v>230</v>
      </c>
      <c r="C169" s="39" t="s">
        <v>235</v>
      </c>
      <c r="D169" s="39" t="str">
        <f>B169&amp;"|"&amp;C169</f>
        <v>Gujarat|Banas Kantha</v>
      </c>
      <c r="E169" s="40">
        <v>24.17</v>
      </c>
      <c r="F169" s="40">
        <v>72.430000000000007</v>
      </c>
      <c r="G169" s="41">
        <v>0</v>
      </c>
      <c r="H169" s="41">
        <v>28.35</v>
      </c>
      <c r="I169" s="41">
        <v>30.770199999999999</v>
      </c>
      <c r="J169" s="41">
        <v>224.393</v>
      </c>
      <c r="K169" s="41">
        <v>0</v>
      </c>
      <c r="L169" s="41">
        <v>0</v>
      </c>
      <c r="M169" s="41">
        <v>5.6000000000000001E-2</v>
      </c>
      <c r="N169" s="41">
        <v>0</v>
      </c>
      <c r="O169" s="42">
        <f>SUM(G169:N169)</f>
        <v>283.56919999999997</v>
      </c>
      <c r="P169" s="42">
        <f>SUMPRODUCT(G169:N169,$G$2:$N$2)*1000/Assumptions!$C$15</f>
        <v>85.473871334897368</v>
      </c>
      <c r="Q169" s="43">
        <f>IF(ISNUMBER(Finder!$G$5),Finder!$D$8*Assumptions!$C$16*2*ASIN(SQRT(SIN(RADIANS(E169-Finder!$G$5)/2)^2+COS(RADIANS(Finder!$G$5))*COS(RADIANS(E169))*SIN(RADIANS(F169-Finder!$G$6)/2)^2)),"")</f>
        <v>642.96510317503441</v>
      </c>
      <c r="R169" s="39">
        <f>IF(ISNUMBER(Q169),IF(Q169&lt;=Finder!$D$7,1,0),0)</f>
        <v>0</v>
      </c>
      <c r="S169" s="39" t="str">
        <f>IF(R169=1,O169+ROW()*0.000000001,"")</f>
        <v/>
      </c>
      <c r="T169" s="39" t="str">
        <f>IF(O169&gt;0,INDEX(Calc!$B$4:$B$11,MATCH(MAX(G169:N169),G169:N169,0)),"-")</f>
        <v>Mustard Stalk</v>
      </c>
    </row>
    <row r="170" spans="1:20">
      <c r="A170" s="39">
        <v>167</v>
      </c>
      <c r="B170" s="39" t="s">
        <v>230</v>
      </c>
      <c r="C170" s="39" t="s">
        <v>236</v>
      </c>
      <c r="D170" s="39" t="str">
        <f>B170&amp;"|"&amp;C170</f>
        <v>Gujarat|Bharuch</v>
      </c>
      <c r="E170" s="40">
        <v>21.7</v>
      </c>
      <c r="F170" s="40">
        <v>72.98</v>
      </c>
      <c r="G170" s="41">
        <v>7.98</v>
      </c>
      <c r="H170" s="41">
        <v>8.1</v>
      </c>
      <c r="I170" s="41">
        <v>0</v>
      </c>
      <c r="J170" s="41">
        <v>0</v>
      </c>
      <c r="K170" s="41">
        <v>479.55439999999999</v>
      </c>
      <c r="L170" s="41">
        <v>55.948</v>
      </c>
      <c r="M170" s="41">
        <v>5.2972999999999999</v>
      </c>
      <c r="N170" s="41">
        <v>0</v>
      </c>
      <c r="O170" s="42">
        <f>SUM(G170:N170)</f>
        <v>556.87969999999996</v>
      </c>
      <c r="P170" s="42">
        <f>SUMPRODUCT(G170:N170,$G$2:$N$2)*1000/Assumptions!$C$15</f>
        <v>164.15632047741934</v>
      </c>
      <c r="Q170" s="43">
        <f>IF(ISNUMBER(Finder!$G$5),Finder!$D$8*Assumptions!$C$16*2*ASIN(SQRT(SIN(RADIANS(E170-Finder!$G$5)/2)^2+COS(RADIANS(Finder!$G$5))*COS(RADIANS(E170))*SIN(RADIANS(F170-Finder!$G$6)/2)^2)),"")</f>
        <v>872.80274938753143</v>
      </c>
      <c r="R170" s="39">
        <f>IF(ISNUMBER(Q170),IF(Q170&lt;=Finder!$D$7,1,0),0)</f>
        <v>0</v>
      </c>
      <c r="S170" s="39" t="str">
        <f>IF(R170=1,O170+ROW()*0.000000001,"")</f>
        <v/>
      </c>
      <c r="T170" s="39" t="str">
        <f>IF(O170&gt;0,INDEX(Calc!$B$4:$B$11,MATCH(MAX(G170:N170),G170:N170,0)),"-")</f>
        <v>Cane Trash</v>
      </c>
    </row>
    <row r="171" spans="1:20">
      <c r="A171" s="39">
        <v>168</v>
      </c>
      <c r="B171" s="39" t="s">
        <v>230</v>
      </c>
      <c r="C171" s="39" t="s">
        <v>237</v>
      </c>
      <c r="D171" s="39" t="str">
        <f>B171&amp;"|"&amp;C171</f>
        <v>Gujarat|Bhavnagar</v>
      </c>
      <c r="E171" s="40">
        <v>21.76</v>
      </c>
      <c r="F171" s="40">
        <v>72.150000000000006</v>
      </c>
      <c r="G171" s="41">
        <v>0</v>
      </c>
      <c r="H171" s="41">
        <v>14.4</v>
      </c>
      <c r="I171" s="41">
        <v>1.9686999999999999</v>
      </c>
      <c r="J171" s="41">
        <v>2.3999999999999998E-3</v>
      </c>
      <c r="K171" s="41">
        <v>0.1764</v>
      </c>
      <c r="L171" s="41">
        <v>2.06E-2</v>
      </c>
      <c r="M171" s="41">
        <v>0.88900000000000001</v>
      </c>
      <c r="N171" s="41">
        <v>0</v>
      </c>
      <c r="O171" s="42">
        <f>SUM(G171:N171)</f>
        <v>17.457100000000004</v>
      </c>
      <c r="P171" s="42">
        <f>SUMPRODUCT(G171:N171,$G$2:$N$2)*1000/Assumptions!$C$15</f>
        <v>6.1965817214076235</v>
      </c>
      <c r="Q171" s="43">
        <f>IF(ISNUMBER(Finder!$G$5),Finder!$D$8*Assumptions!$C$16*2*ASIN(SQRT(SIN(RADIANS(E171-Finder!$G$5)/2)^2+COS(RADIANS(Finder!$G$5))*COS(RADIANS(E171))*SIN(RADIANS(F171-Finder!$G$6)/2)^2)),"")</f>
        <v>896.32905398917035</v>
      </c>
      <c r="R171" s="39">
        <f>IF(ISNUMBER(Q171),IF(Q171&lt;=Finder!$D$7,1,0),0)</f>
        <v>0</v>
      </c>
      <c r="S171" s="39" t="str">
        <f>IF(R171=1,O171+ROW()*0.000000001,"")</f>
        <v/>
      </c>
      <c r="T171" s="39" t="str">
        <f>IF(O171&gt;0,INDEX(Calc!$B$4:$B$11,MATCH(MAX(G171:N171),G171:N171,0)),"-")</f>
        <v>Wheat Straw</v>
      </c>
    </row>
    <row r="172" spans="1:20">
      <c r="A172" s="39">
        <v>169</v>
      </c>
      <c r="B172" s="39" t="s">
        <v>230</v>
      </c>
      <c r="C172" s="39" t="s">
        <v>238</v>
      </c>
      <c r="D172" s="39" t="str">
        <f>B172&amp;"|"&amp;C172</f>
        <v>Gujarat|Botad</v>
      </c>
      <c r="E172" s="40">
        <v>22.17</v>
      </c>
      <c r="F172" s="40">
        <v>71.67</v>
      </c>
      <c r="G172" s="41">
        <v>0</v>
      </c>
      <c r="H172" s="41">
        <v>9.9</v>
      </c>
      <c r="I172" s="41">
        <v>0</v>
      </c>
      <c r="J172" s="41">
        <v>0</v>
      </c>
      <c r="K172" s="41">
        <v>0</v>
      </c>
      <c r="L172" s="41">
        <v>0</v>
      </c>
      <c r="M172" s="41">
        <v>0.45500000000000002</v>
      </c>
      <c r="N172" s="41">
        <v>0</v>
      </c>
      <c r="O172" s="42">
        <f>SUM(G172:N172)</f>
        <v>10.355</v>
      </c>
      <c r="P172" s="42">
        <f>SUMPRODUCT(G172:N172,$G$2:$N$2)*1000/Assumptions!$C$15</f>
        <v>3.7725710263929622</v>
      </c>
      <c r="Q172" s="43">
        <f>IF(ISNUMBER(Finder!$G$5),Finder!$D$8*Assumptions!$C$16*2*ASIN(SQRT(SIN(RADIANS(E172-Finder!$G$5)/2)^2+COS(RADIANS(Finder!$G$5))*COS(RADIANS(E172))*SIN(RADIANS(F172-Finder!$G$6)/2)^2)),"")</f>
        <v>875.67844687208901</v>
      </c>
      <c r="R172" s="39">
        <f>IF(ISNUMBER(Q172),IF(Q172&lt;=Finder!$D$7,1,0),0)</f>
        <v>0</v>
      </c>
      <c r="S172" s="39" t="str">
        <f>IF(R172=1,O172+ROW()*0.000000001,"")</f>
        <v/>
      </c>
      <c r="T172" s="39" t="str">
        <f>IF(O172&gt;0,INDEX(Calc!$B$4:$B$11,MATCH(MAX(G172:N172),G172:N172,0)),"-")</f>
        <v>Wheat Straw</v>
      </c>
    </row>
    <row r="173" spans="1:20">
      <c r="A173" s="39">
        <v>170</v>
      </c>
      <c r="B173" s="39" t="s">
        <v>230</v>
      </c>
      <c r="C173" s="39" t="s">
        <v>239</v>
      </c>
      <c r="D173" s="39" t="str">
        <f>B173&amp;"|"&amp;C173</f>
        <v>Gujarat|Chhotaudepur</v>
      </c>
      <c r="E173" s="40">
        <v>22.3</v>
      </c>
      <c r="F173" s="40">
        <v>74.010000000000005</v>
      </c>
      <c r="G173" s="41">
        <v>7.14</v>
      </c>
      <c r="H173" s="41">
        <v>0.45</v>
      </c>
      <c r="I173" s="41">
        <v>84.694000000000003</v>
      </c>
      <c r="J173" s="41">
        <v>0</v>
      </c>
      <c r="K173" s="41">
        <v>0</v>
      </c>
      <c r="L173" s="41">
        <v>0</v>
      </c>
      <c r="M173" s="41">
        <v>19.192299999999999</v>
      </c>
      <c r="N173" s="41">
        <v>0</v>
      </c>
      <c r="O173" s="42">
        <f>SUM(G173:N173)</f>
        <v>111.47630000000001</v>
      </c>
      <c r="P173" s="42">
        <f>SUMPRODUCT(G173:N173,$G$2:$N$2)*1000/Assumptions!$C$15</f>
        <v>33.758296150146627</v>
      </c>
      <c r="Q173" s="43">
        <f>IF(ISNUMBER(Finder!$G$5),Finder!$D$8*Assumptions!$C$16*2*ASIN(SQRT(SIN(RADIANS(E173-Finder!$G$5)/2)^2+COS(RADIANS(Finder!$G$5))*COS(RADIANS(E173))*SIN(RADIANS(F173-Finder!$G$6)/2)^2)),"")</f>
        <v>780.67125463020932</v>
      </c>
      <c r="R173" s="39">
        <f>IF(ISNUMBER(Q173),IF(Q173&lt;=Finder!$D$7,1,0),0)</f>
        <v>0</v>
      </c>
      <c r="S173" s="39" t="str">
        <f>IF(R173=1,O173+ROW()*0.000000001,"")</f>
        <v/>
      </c>
      <c r="T173" s="39" t="str">
        <f>IF(O173&gt;0,INDEX(Calc!$B$4:$B$11,MATCH(MAX(G173:N173),G173:N173,0)),"-")</f>
        <v>Maize Stover</v>
      </c>
    </row>
    <row r="174" spans="1:20">
      <c r="A174" s="39">
        <v>171</v>
      </c>
      <c r="B174" s="39" t="s">
        <v>230</v>
      </c>
      <c r="C174" s="39" t="s">
        <v>240</v>
      </c>
      <c r="D174" s="39" t="str">
        <f>B174&amp;"|"&amp;C174</f>
        <v>Gujarat|Dahod</v>
      </c>
      <c r="E174" s="40">
        <v>22.83</v>
      </c>
      <c r="F174" s="40">
        <v>74.25</v>
      </c>
      <c r="G174" s="41">
        <v>15.96</v>
      </c>
      <c r="H174" s="41">
        <v>24.75</v>
      </c>
      <c r="I174" s="41">
        <v>349.19319999999999</v>
      </c>
      <c r="J174" s="41">
        <v>0</v>
      </c>
      <c r="K174" s="41">
        <v>0</v>
      </c>
      <c r="L174" s="41">
        <v>0</v>
      </c>
      <c r="M174" s="41">
        <v>21.843499999999999</v>
      </c>
      <c r="N174" s="41">
        <v>0</v>
      </c>
      <c r="O174" s="42">
        <f>SUM(G174:N174)</f>
        <v>411.74669999999998</v>
      </c>
      <c r="P174" s="42">
        <f>SUMPRODUCT(G174:N174,$G$2:$N$2)*1000/Assumptions!$C$15</f>
        <v>124.54664796246334</v>
      </c>
      <c r="Q174" s="43">
        <f>IF(ISNUMBER(Finder!$G$5),Finder!$D$8*Assumptions!$C$16*2*ASIN(SQRT(SIN(RADIANS(E174-Finder!$G$5)/2)^2+COS(RADIANS(Finder!$G$5))*COS(RADIANS(E174))*SIN(RADIANS(F174-Finder!$G$6)/2)^2)),"")</f>
        <v>717.92051817112554</v>
      </c>
      <c r="R174" s="39">
        <f>IF(ISNUMBER(Q174),IF(Q174&lt;=Finder!$D$7,1,0),0)</f>
        <v>0</v>
      </c>
      <c r="S174" s="39" t="str">
        <f>IF(R174=1,O174+ROW()*0.000000001,"")</f>
        <v/>
      </c>
      <c r="T174" s="39" t="str">
        <f>IF(O174&gt;0,INDEX(Calc!$B$4:$B$11,MATCH(MAX(G174:N174),G174:N174,0)),"-")</f>
        <v>Maize Stover</v>
      </c>
    </row>
    <row r="175" spans="1:20">
      <c r="A175" s="39">
        <v>172</v>
      </c>
      <c r="B175" s="39" t="s">
        <v>230</v>
      </c>
      <c r="C175" s="39" t="s">
        <v>241</v>
      </c>
      <c r="D175" s="39" t="str">
        <f>B175&amp;"|"&amp;C175</f>
        <v>Gujarat|Dangs</v>
      </c>
      <c r="E175" s="40">
        <v>20.76</v>
      </c>
      <c r="F175" s="40">
        <v>73.69</v>
      </c>
      <c r="G175" s="41">
        <v>13.02</v>
      </c>
      <c r="H175" s="41">
        <v>0</v>
      </c>
      <c r="I175" s="41">
        <v>1.0678000000000001</v>
      </c>
      <c r="J175" s="41">
        <v>0</v>
      </c>
      <c r="K175" s="41">
        <v>4.4870000000000001</v>
      </c>
      <c r="L175" s="41">
        <v>0.52349999999999997</v>
      </c>
      <c r="M175" s="41">
        <v>0.95640000000000003</v>
      </c>
      <c r="N175" s="41">
        <v>0</v>
      </c>
      <c r="O175" s="42">
        <f>SUM(G175:N175)</f>
        <v>20.054699999999997</v>
      </c>
      <c r="P175" s="42">
        <f>SUMPRODUCT(G175:N175,$G$2:$N$2)*1000/Assumptions!$C$15</f>
        <v>6.853830031964808</v>
      </c>
      <c r="Q175" s="43">
        <f>IF(ISNUMBER(Finder!$G$5),Finder!$D$8*Assumptions!$C$16*2*ASIN(SQRT(SIN(RADIANS(E175-Finder!$G$5)/2)^2+COS(RADIANS(Finder!$G$5))*COS(RADIANS(E175))*SIN(RADIANS(F175-Finder!$G$6)/2)^2)),"")</f>
        <v>955.04339092006126</v>
      </c>
      <c r="R175" s="39">
        <f>IF(ISNUMBER(Q175),IF(Q175&lt;=Finder!$D$7,1,0),0)</f>
        <v>0</v>
      </c>
      <c r="S175" s="39" t="str">
        <f>IF(R175=1,O175+ROW()*0.000000001,"")</f>
        <v/>
      </c>
      <c r="T175" s="39" t="str">
        <f>IF(O175&gt;0,INDEX(Calc!$B$4:$B$11,MATCH(MAX(G175:N175),G175:N175,0)),"-")</f>
        <v>Paddy Straw</v>
      </c>
    </row>
    <row r="176" spans="1:20">
      <c r="A176" s="39">
        <v>173</v>
      </c>
      <c r="B176" s="39" t="s">
        <v>230</v>
      </c>
      <c r="C176" s="39" t="s">
        <v>242</v>
      </c>
      <c r="D176" s="39" t="str">
        <f>B176&amp;"|"&amp;C176</f>
        <v>Gujarat|Devbhumi Dwarka</v>
      </c>
      <c r="E176" s="40">
        <v>22.2</v>
      </c>
      <c r="F176" s="40">
        <v>69.650000000000006</v>
      </c>
      <c r="G176" s="41">
        <v>0</v>
      </c>
      <c r="H176" s="41">
        <v>5.85</v>
      </c>
      <c r="I176" s="41">
        <v>0</v>
      </c>
      <c r="J176" s="41">
        <v>6.9237000000000002</v>
      </c>
      <c r="K176" s="41">
        <v>0</v>
      </c>
      <c r="L176" s="41">
        <v>0</v>
      </c>
      <c r="M176" s="41">
        <v>0.27560000000000001</v>
      </c>
      <c r="N176" s="41">
        <v>0</v>
      </c>
      <c r="O176" s="42">
        <f>SUM(G176:N176)</f>
        <v>13.049300000000001</v>
      </c>
      <c r="P176" s="42">
        <f>SUMPRODUCT(G176:N176,$G$2:$N$2)*1000/Assumptions!$C$15</f>
        <v>4.2682004387096768</v>
      </c>
      <c r="Q176" s="43">
        <f>IF(ISNUMBER(Finder!$G$5),Finder!$D$8*Assumptions!$C$16*2*ASIN(SQRT(SIN(RADIANS(E176-Finder!$G$5)/2)^2+COS(RADIANS(Finder!$G$5))*COS(RADIANS(E176))*SIN(RADIANS(F176-Finder!$G$6)/2)^2)),"")</f>
        <v>983.07540028733536</v>
      </c>
      <c r="R176" s="39">
        <f>IF(ISNUMBER(Q176),IF(Q176&lt;=Finder!$D$7,1,0),0)</f>
        <v>0</v>
      </c>
      <c r="S176" s="39" t="str">
        <f>IF(R176=1,O176+ROW()*0.000000001,"")</f>
        <v/>
      </c>
      <c r="T176" s="39" t="str">
        <f>IF(O176&gt;0,INDEX(Calc!$B$4:$B$11,MATCH(MAX(G176:N176),G176:N176,0)),"-")</f>
        <v>Mustard Stalk</v>
      </c>
    </row>
    <row r="177" spans="1:20">
      <c r="A177" s="39">
        <v>174</v>
      </c>
      <c r="B177" s="39" t="s">
        <v>230</v>
      </c>
      <c r="C177" s="39" t="s">
        <v>243</v>
      </c>
      <c r="D177" s="39" t="str">
        <f>B177&amp;"|"&amp;C177</f>
        <v>Gujarat|Gandhinagar</v>
      </c>
      <c r="E177" s="40">
        <v>23.22</v>
      </c>
      <c r="F177" s="40">
        <v>72.650000000000006</v>
      </c>
      <c r="G177" s="41">
        <v>5.04</v>
      </c>
      <c r="H177" s="41">
        <v>12.15</v>
      </c>
      <c r="I177" s="41">
        <v>3.3599999999999998E-2</v>
      </c>
      <c r="J177" s="41">
        <v>1.7052</v>
      </c>
      <c r="K177" s="41">
        <v>0</v>
      </c>
      <c r="L177" s="41">
        <v>0</v>
      </c>
      <c r="M177" s="41">
        <v>0.23269999999999999</v>
      </c>
      <c r="N177" s="41">
        <v>0</v>
      </c>
      <c r="O177" s="42">
        <f>SUM(G177:N177)</f>
        <v>19.161500000000004</v>
      </c>
      <c r="P177" s="42">
        <f>SUMPRODUCT(G177:N177,$G$2:$N$2)*1000/Assumptions!$C$15</f>
        <v>6.8860750076246324</v>
      </c>
      <c r="Q177" s="43">
        <f>IF(ISNUMBER(Finder!$G$5),Finder!$D$8*Assumptions!$C$16*2*ASIN(SQRT(SIN(RADIANS(E177-Finder!$G$5)/2)^2+COS(RADIANS(Finder!$G$5))*COS(RADIANS(E177))*SIN(RADIANS(F177-Finder!$G$6)/2)^2)),"")</f>
        <v>726.96768063502043</v>
      </c>
      <c r="R177" s="39">
        <f>IF(ISNUMBER(Q177),IF(Q177&lt;=Finder!$D$7,1,0),0)</f>
        <v>0</v>
      </c>
      <c r="S177" s="39" t="str">
        <f>IF(R177=1,O177+ROW()*0.000000001,"")</f>
        <v/>
      </c>
      <c r="T177" s="39" t="str">
        <f>IF(O177&gt;0,INDEX(Calc!$B$4:$B$11,MATCH(MAX(G177:N177),G177:N177,0)),"-")</f>
        <v>Wheat Straw</v>
      </c>
    </row>
    <row r="178" spans="1:20">
      <c r="A178" s="39">
        <v>175</v>
      </c>
      <c r="B178" s="39" t="s">
        <v>230</v>
      </c>
      <c r="C178" s="39" t="s">
        <v>244</v>
      </c>
      <c r="D178" s="39" t="str">
        <f>B178&amp;"|"&amp;C178</f>
        <v>Gujarat|Gir Somnath</v>
      </c>
      <c r="E178" s="40">
        <v>20.91</v>
      </c>
      <c r="F178" s="40">
        <v>70.37</v>
      </c>
      <c r="G178" s="41">
        <v>0</v>
      </c>
      <c r="H178" s="41">
        <v>19.8</v>
      </c>
      <c r="I178" s="41">
        <v>0.23100000000000001</v>
      </c>
      <c r="J178" s="41">
        <v>0.14699999999999999</v>
      </c>
      <c r="K178" s="41">
        <v>84.309700000000007</v>
      </c>
      <c r="L178" s="41">
        <v>9.8361000000000001</v>
      </c>
      <c r="M178" s="41">
        <v>36.771000000000001</v>
      </c>
      <c r="N178" s="41">
        <v>0</v>
      </c>
      <c r="O178" s="42">
        <f>SUM(G178:N178)</f>
        <v>151.09480000000002</v>
      </c>
      <c r="P178" s="42">
        <f>SUMPRODUCT(G178:N178,$G$2:$N$2)*1000/Assumptions!$C$15</f>
        <v>46.51056041378299</v>
      </c>
      <c r="Q178" s="43">
        <f>IF(ISNUMBER(Finder!$G$5),Finder!$D$8*Assumptions!$C$16*2*ASIN(SQRT(SIN(RADIANS(E178-Finder!$G$5)/2)^2+COS(RADIANS(Finder!$G$5))*COS(RADIANS(E178))*SIN(RADIANS(F178-Finder!$G$6)/2)^2)),"")</f>
        <v>1062.632232463774</v>
      </c>
      <c r="R178" s="39">
        <f>IF(ISNUMBER(Q178),IF(Q178&lt;=Finder!$D$7,1,0),0)</f>
        <v>0</v>
      </c>
      <c r="S178" s="39" t="str">
        <f>IF(R178=1,O178+ROW()*0.000000001,"")</f>
        <v/>
      </c>
      <c r="T178" s="39" t="str">
        <f>IF(O178&gt;0,INDEX(Calc!$B$4:$B$11,MATCH(MAX(G178:N178),G178:N178,0)),"-")</f>
        <v>Cane Trash</v>
      </c>
    </row>
    <row r="179" spans="1:20">
      <c r="A179" s="39">
        <v>176</v>
      </c>
      <c r="B179" s="39" t="s">
        <v>230</v>
      </c>
      <c r="C179" s="39" t="s">
        <v>245</v>
      </c>
      <c r="D179" s="39" t="str">
        <f>B179&amp;"|"&amp;C179</f>
        <v>Gujarat|Jamnagar</v>
      </c>
      <c r="E179" s="40">
        <v>22.47</v>
      </c>
      <c r="F179" s="40">
        <v>70.06</v>
      </c>
      <c r="G179" s="41">
        <v>0</v>
      </c>
      <c r="H179" s="41">
        <v>15.3</v>
      </c>
      <c r="I179" s="41">
        <v>0</v>
      </c>
      <c r="J179" s="41">
        <v>4.6372</v>
      </c>
      <c r="K179" s="41">
        <v>0</v>
      </c>
      <c r="L179" s="41">
        <v>0</v>
      </c>
      <c r="M179" s="41">
        <v>3.6040999999999999</v>
      </c>
      <c r="N179" s="41">
        <v>0</v>
      </c>
      <c r="O179" s="42">
        <f>SUM(G179:N179)</f>
        <v>23.5413</v>
      </c>
      <c r="P179" s="42">
        <f>SUMPRODUCT(G179:N179,$G$2:$N$2)*1000/Assumptions!$C$15</f>
        <v>8.1105946029325509</v>
      </c>
      <c r="Q179" s="43">
        <f>IF(ISNUMBER(Finder!$G$5),Finder!$D$8*Assumptions!$C$16*2*ASIN(SQRT(SIN(RADIANS(E179-Finder!$G$5)/2)^2+COS(RADIANS(Finder!$G$5))*COS(RADIANS(E179))*SIN(RADIANS(F179-Finder!$G$6)/2)^2)),"")</f>
        <v>933.84640101834771</v>
      </c>
      <c r="R179" s="39">
        <f>IF(ISNUMBER(Q179),IF(Q179&lt;=Finder!$D$7,1,0),0)</f>
        <v>0</v>
      </c>
      <c r="S179" s="39" t="str">
        <f>IF(R179=1,O179+ROW()*0.000000001,"")</f>
        <v/>
      </c>
      <c r="T179" s="39" t="str">
        <f>IF(O179&gt;0,INDEX(Calc!$B$4:$B$11,MATCH(MAX(G179:N179),G179:N179,0)),"-")</f>
        <v>Wheat Straw</v>
      </c>
    </row>
    <row r="180" spans="1:20">
      <c r="A180" s="39">
        <v>177</v>
      </c>
      <c r="B180" s="39" t="s">
        <v>230</v>
      </c>
      <c r="C180" s="39" t="s">
        <v>246</v>
      </c>
      <c r="D180" s="39" t="str">
        <f>B180&amp;"|"&amp;C180</f>
        <v>Gujarat|Junagadh</v>
      </c>
      <c r="E180" s="40">
        <v>21.52</v>
      </c>
      <c r="F180" s="40">
        <v>70.459999999999994</v>
      </c>
      <c r="G180" s="41">
        <v>0</v>
      </c>
      <c r="H180" s="41">
        <v>45</v>
      </c>
      <c r="I180" s="41">
        <v>0</v>
      </c>
      <c r="J180" s="41">
        <v>0</v>
      </c>
      <c r="K180" s="41">
        <v>1.3634999999999999</v>
      </c>
      <c r="L180" s="41">
        <v>0.15909999999999999</v>
      </c>
      <c r="M180" s="41">
        <v>82.764499999999998</v>
      </c>
      <c r="N180" s="41">
        <v>0</v>
      </c>
      <c r="O180" s="42">
        <f>SUM(G180:N180)</f>
        <v>129.28710000000001</v>
      </c>
      <c r="P180" s="42">
        <f>SUMPRODUCT(G180:N180,$G$2:$N$2)*1000/Assumptions!$C$15</f>
        <v>43.07627591583578</v>
      </c>
      <c r="Q180" s="43">
        <f>IF(ISNUMBER(Finder!$G$5),Finder!$D$8*Assumptions!$C$16*2*ASIN(SQRT(SIN(RADIANS(E180-Finder!$G$5)/2)^2+COS(RADIANS(Finder!$G$5))*COS(RADIANS(E180))*SIN(RADIANS(F180-Finder!$G$6)/2)^2)),"")</f>
        <v>999.26783017832452</v>
      </c>
      <c r="R180" s="39">
        <f>IF(ISNUMBER(Q180),IF(Q180&lt;=Finder!$D$7,1,0),0)</f>
        <v>0</v>
      </c>
      <c r="S180" s="39" t="str">
        <f>IF(R180=1,O180+ROW()*0.000000001,"")</f>
        <v/>
      </c>
      <c r="T180" s="39" t="str">
        <f>IF(O180&gt;0,INDEX(Calc!$B$4:$B$11,MATCH(MAX(G180:N180),G180:N180,0)),"-")</f>
        <v>Soya Trash</v>
      </c>
    </row>
    <row r="181" spans="1:20">
      <c r="A181" s="39">
        <v>178</v>
      </c>
      <c r="B181" s="39" t="s">
        <v>230</v>
      </c>
      <c r="C181" s="39" t="s">
        <v>247</v>
      </c>
      <c r="D181" s="39" t="str">
        <f>B181&amp;"|"&amp;C181</f>
        <v>Gujarat|Kachchh</v>
      </c>
      <c r="E181" s="40">
        <v>23.25</v>
      </c>
      <c r="F181" s="40">
        <v>69.67</v>
      </c>
      <c r="G181" s="41">
        <v>0</v>
      </c>
      <c r="H181" s="41">
        <v>15.75</v>
      </c>
      <c r="I181" s="41">
        <v>0</v>
      </c>
      <c r="J181" s="41">
        <v>37.530299999999997</v>
      </c>
      <c r="K181" s="41">
        <v>0</v>
      </c>
      <c r="L181" s="41">
        <v>0</v>
      </c>
      <c r="M181" s="41">
        <v>0</v>
      </c>
      <c r="N181" s="41">
        <v>0</v>
      </c>
      <c r="O181" s="42">
        <f>SUM(G181:N181)</f>
        <v>53.280299999999997</v>
      </c>
      <c r="P181" s="42">
        <f>SUMPRODUCT(G181:N181,$G$2:$N$2)*1000/Assumptions!$C$15</f>
        <v>16.813961363049852</v>
      </c>
      <c r="Q181" s="43">
        <f>IF(ISNUMBER(Finder!$G$5),Finder!$D$8*Assumptions!$C$16*2*ASIN(SQRT(SIN(RADIANS(E181-Finder!$G$5)/2)^2+COS(RADIANS(Finder!$G$5))*COS(RADIANS(E181))*SIN(RADIANS(F181-Finder!$G$6)/2)^2)),"")</f>
        <v>891.13797829608188</v>
      </c>
      <c r="R181" s="39">
        <f>IF(ISNUMBER(Q181),IF(Q181&lt;=Finder!$D$7,1,0),0)</f>
        <v>0</v>
      </c>
      <c r="S181" s="39" t="str">
        <f>IF(R181=1,O181+ROW()*0.000000001,"")</f>
        <v/>
      </c>
      <c r="T181" s="39" t="str">
        <f>IF(O181&gt;0,INDEX(Calc!$B$4:$B$11,MATCH(MAX(G181:N181),G181:N181,0)),"-")</f>
        <v>Mustard Stalk</v>
      </c>
    </row>
    <row r="182" spans="1:20">
      <c r="A182" s="39">
        <v>179</v>
      </c>
      <c r="B182" s="39" t="s">
        <v>230</v>
      </c>
      <c r="C182" s="39" t="s">
        <v>248</v>
      </c>
      <c r="D182" s="39" t="str">
        <f>B182&amp;"|"&amp;C182</f>
        <v>Gujarat|Kheda</v>
      </c>
      <c r="E182" s="40">
        <v>22.69</v>
      </c>
      <c r="F182" s="40">
        <v>72.86</v>
      </c>
      <c r="G182" s="41">
        <v>55.86</v>
      </c>
      <c r="H182" s="41">
        <v>23.85</v>
      </c>
      <c r="I182" s="41">
        <v>1.6705000000000001</v>
      </c>
      <c r="J182" s="41">
        <v>3.5966</v>
      </c>
      <c r="K182" s="41">
        <v>0</v>
      </c>
      <c r="L182" s="41">
        <v>0</v>
      </c>
      <c r="M182" s="41">
        <v>1.0780000000000001</v>
      </c>
      <c r="N182" s="41">
        <v>0</v>
      </c>
      <c r="O182" s="42">
        <f>SUM(G182:N182)</f>
        <v>86.05510000000001</v>
      </c>
      <c r="P182" s="42">
        <f>SUMPRODUCT(G182:N182,$G$2:$N$2)*1000/Assumptions!$C$15</f>
        <v>31.107944884457478</v>
      </c>
      <c r="Q182" s="43">
        <f>IF(ISNUMBER(Finder!$G$5),Finder!$D$8*Assumptions!$C$16*2*ASIN(SQRT(SIN(RADIANS(E182-Finder!$G$5)/2)^2+COS(RADIANS(Finder!$G$5))*COS(RADIANS(E182))*SIN(RADIANS(F182-Finder!$G$6)/2)^2)),"")</f>
        <v>773.07328957875836</v>
      </c>
      <c r="R182" s="39">
        <f>IF(ISNUMBER(Q182),IF(Q182&lt;=Finder!$D$7,1,0),0)</f>
        <v>0</v>
      </c>
      <c r="S182" s="39" t="str">
        <f>IF(R182=1,O182+ROW()*0.000000001,"")</f>
        <v/>
      </c>
      <c r="T182" s="39" t="str">
        <f>IF(O182&gt;0,INDEX(Calc!$B$4:$B$11,MATCH(MAX(G182:N182),G182:N182,0)),"-")</f>
        <v>Paddy Straw</v>
      </c>
    </row>
    <row r="183" spans="1:20">
      <c r="A183" s="39">
        <v>180</v>
      </c>
      <c r="B183" s="39" t="s">
        <v>230</v>
      </c>
      <c r="C183" s="39" t="s">
        <v>249</v>
      </c>
      <c r="D183" s="39" t="str">
        <f>B183&amp;"|"&amp;C183</f>
        <v>Gujarat|Mahesana</v>
      </c>
      <c r="E183" s="40">
        <v>23.6</v>
      </c>
      <c r="F183" s="40">
        <v>72.37</v>
      </c>
      <c r="G183" s="41">
        <v>3.36</v>
      </c>
      <c r="H183" s="41">
        <v>28.35</v>
      </c>
      <c r="I183" s="41">
        <v>1.2663</v>
      </c>
      <c r="J183" s="41">
        <v>27.906099999999999</v>
      </c>
      <c r="K183" s="41">
        <v>0</v>
      </c>
      <c r="L183" s="41">
        <v>0</v>
      </c>
      <c r="M183" s="41">
        <v>0.31319999999999998</v>
      </c>
      <c r="N183" s="41">
        <v>0</v>
      </c>
      <c r="O183" s="42">
        <f>SUM(G183:N183)</f>
        <v>61.195600000000006</v>
      </c>
      <c r="P183" s="42">
        <f>SUMPRODUCT(G183:N183,$G$2:$N$2)*1000/Assumptions!$C$15</f>
        <v>20.304330079765396</v>
      </c>
      <c r="Q183" s="43">
        <f>IF(ISNUMBER(Finder!$G$5),Finder!$D$8*Assumptions!$C$16*2*ASIN(SQRT(SIN(RADIANS(E183-Finder!$G$5)/2)^2+COS(RADIANS(Finder!$G$5))*COS(RADIANS(E183))*SIN(RADIANS(F183-Finder!$G$6)/2)^2)),"")</f>
        <v>701.47568436071208</v>
      </c>
      <c r="R183" s="39">
        <f>IF(ISNUMBER(Q183),IF(Q183&lt;=Finder!$D$7,1,0),0)</f>
        <v>0</v>
      </c>
      <c r="S183" s="39" t="str">
        <f>IF(R183=1,O183+ROW()*0.000000001,"")</f>
        <v/>
      </c>
      <c r="T183" s="39" t="str">
        <f>IF(O183&gt;0,INDEX(Calc!$B$4:$B$11,MATCH(MAX(G183:N183),G183:N183,0)),"-")</f>
        <v>Wheat Straw</v>
      </c>
    </row>
    <row r="184" spans="1:20">
      <c r="A184" s="39">
        <v>181</v>
      </c>
      <c r="B184" s="39" t="s">
        <v>230</v>
      </c>
      <c r="C184" s="39" t="s">
        <v>250</v>
      </c>
      <c r="D184" s="39" t="str">
        <f>B184&amp;"|"&amp;C184</f>
        <v>Gujarat|Mahisagar</v>
      </c>
      <c r="E184" s="40">
        <v>23.13</v>
      </c>
      <c r="F184" s="40">
        <v>73.61</v>
      </c>
      <c r="G184" s="41">
        <v>17.64</v>
      </c>
      <c r="H184" s="41">
        <v>11.25</v>
      </c>
      <c r="I184" s="41">
        <v>80.585400000000007</v>
      </c>
      <c r="J184" s="41">
        <v>0.46239999999999998</v>
      </c>
      <c r="K184" s="41">
        <v>0</v>
      </c>
      <c r="L184" s="41">
        <v>0</v>
      </c>
      <c r="M184" s="41">
        <v>1.4262999999999999</v>
      </c>
      <c r="N184" s="41">
        <v>0</v>
      </c>
      <c r="O184" s="42">
        <f>SUM(G184:N184)</f>
        <v>111.36410000000001</v>
      </c>
      <c r="P184" s="42">
        <f>SUMPRODUCT(G184:N184,$G$2:$N$2)*1000/Assumptions!$C$15</f>
        <v>34.882951155425218</v>
      </c>
      <c r="Q184" s="43">
        <f>IF(ISNUMBER(Finder!$G$5),Finder!$D$8*Assumptions!$C$16*2*ASIN(SQRT(SIN(RADIANS(E184-Finder!$G$5)/2)^2+COS(RADIANS(Finder!$G$5))*COS(RADIANS(E184))*SIN(RADIANS(F184-Finder!$G$6)/2)^2)),"")</f>
        <v>701.69714309096651</v>
      </c>
      <c r="R184" s="39">
        <f>IF(ISNUMBER(Q184),IF(Q184&lt;=Finder!$D$7,1,0),0)</f>
        <v>0</v>
      </c>
      <c r="S184" s="39" t="str">
        <f>IF(R184=1,O184+ROW()*0.000000001,"")</f>
        <v/>
      </c>
      <c r="T184" s="39" t="str">
        <f>IF(O184&gt;0,INDEX(Calc!$B$4:$B$11,MATCH(MAX(G184:N184),G184:N184,0)),"-")</f>
        <v>Maize Stover</v>
      </c>
    </row>
    <row r="185" spans="1:20">
      <c r="A185" s="39">
        <v>182</v>
      </c>
      <c r="B185" s="39" t="s">
        <v>230</v>
      </c>
      <c r="C185" s="39" t="s">
        <v>251</v>
      </c>
      <c r="D185" s="39" t="str">
        <f>B185&amp;"|"&amp;C185</f>
        <v>Gujarat|Morbi</v>
      </c>
      <c r="E185" s="40">
        <v>22.81</v>
      </c>
      <c r="F185" s="40">
        <v>70.84</v>
      </c>
      <c r="G185" s="41">
        <v>0</v>
      </c>
      <c r="H185" s="41">
        <v>27.45</v>
      </c>
      <c r="I185" s="41">
        <v>0</v>
      </c>
      <c r="J185" s="41">
        <v>6.2377000000000002</v>
      </c>
      <c r="K185" s="41">
        <v>0</v>
      </c>
      <c r="L185" s="41">
        <v>0</v>
      </c>
      <c r="M185" s="41">
        <v>4.7827999999999999</v>
      </c>
      <c r="N185" s="41">
        <v>0</v>
      </c>
      <c r="O185" s="42">
        <f>SUM(G185:N185)</f>
        <v>38.470500000000001</v>
      </c>
      <c r="P185" s="42">
        <f>SUMPRODUCT(G185:N185,$G$2:$N$2)*1000/Assumptions!$C$15</f>
        <v>13.407287092082111</v>
      </c>
      <c r="Q185" s="43">
        <f>IF(ISNUMBER(Finder!$G$5),Finder!$D$8*Assumptions!$C$16*2*ASIN(SQRT(SIN(RADIANS(E185-Finder!$G$5)/2)^2+COS(RADIANS(Finder!$G$5))*COS(RADIANS(E185))*SIN(RADIANS(F185-Finder!$G$6)/2)^2)),"")</f>
        <v>857.02562864090964</v>
      </c>
      <c r="R185" s="39">
        <f>IF(ISNUMBER(Q185),IF(Q185&lt;=Finder!$D$7,1,0),0)</f>
        <v>0</v>
      </c>
      <c r="S185" s="39" t="str">
        <f>IF(R185=1,O185+ROW()*0.000000001,"")</f>
        <v/>
      </c>
      <c r="T185" s="39" t="str">
        <f>IF(O185&gt;0,INDEX(Calc!$B$4:$B$11,MATCH(MAX(G185:N185),G185:N185,0)),"-")</f>
        <v>Wheat Straw</v>
      </c>
    </row>
    <row r="186" spans="1:20">
      <c r="A186" s="39">
        <v>183</v>
      </c>
      <c r="B186" s="39" t="s">
        <v>230</v>
      </c>
      <c r="C186" s="39" t="s">
        <v>252</v>
      </c>
      <c r="D186" s="39" t="str">
        <f>B186&amp;"|"&amp;C186</f>
        <v>Gujarat|Narmada</v>
      </c>
      <c r="E186" s="40">
        <v>21.87</v>
      </c>
      <c r="F186" s="40">
        <v>73.5</v>
      </c>
      <c r="G186" s="41">
        <v>4.62</v>
      </c>
      <c r="H186" s="41">
        <v>1.35</v>
      </c>
      <c r="I186" s="41">
        <v>14.2684</v>
      </c>
      <c r="J186" s="41">
        <v>0</v>
      </c>
      <c r="K186" s="41">
        <v>63.664400000000001</v>
      </c>
      <c r="L186" s="41">
        <v>7.4275000000000002</v>
      </c>
      <c r="M186" s="41">
        <v>1.7989999999999999</v>
      </c>
      <c r="N186" s="41">
        <v>0</v>
      </c>
      <c r="O186" s="42">
        <f>SUM(G186:N186)</f>
        <v>93.129300000000001</v>
      </c>
      <c r="P186" s="42">
        <f>SUMPRODUCT(G186:N186,$G$2:$N$2)*1000/Assumptions!$C$15</f>
        <v>27.742325362170089</v>
      </c>
      <c r="Q186" s="43">
        <f>IF(ISNUMBER(Finder!$G$5),Finder!$D$8*Assumptions!$C$16*2*ASIN(SQRT(SIN(RADIANS(E186-Finder!$G$5)/2)^2+COS(RADIANS(Finder!$G$5))*COS(RADIANS(E186))*SIN(RADIANS(F186-Finder!$G$6)/2)^2)),"")</f>
        <v>839.5291548332973</v>
      </c>
      <c r="R186" s="39">
        <f>IF(ISNUMBER(Q186),IF(Q186&lt;=Finder!$D$7,1,0),0)</f>
        <v>0</v>
      </c>
      <c r="S186" s="39" t="str">
        <f>IF(R186=1,O186+ROW()*0.000000001,"")</f>
        <v/>
      </c>
      <c r="T186" s="39" t="str">
        <f>IF(O186&gt;0,INDEX(Calc!$B$4:$B$11,MATCH(MAX(G186:N186),G186:N186,0)),"-")</f>
        <v>Cane Trash</v>
      </c>
    </row>
    <row r="187" spans="1:20">
      <c r="A187" s="39">
        <v>184</v>
      </c>
      <c r="B187" s="39" t="s">
        <v>230</v>
      </c>
      <c r="C187" s="39" t="s">
        <v>253</v>
      </c>
      <c r="D187" s="39" t="str">
        <f>B187&amp;"|"&amp;C187</f>
        <v>Gujarat|Navsari</v>
      </c>
      <c r="E187" s="40">
        <v>20.95</v>
      </c>
      <c r="F187" s="40">
        <v>72.92</v>
      </c>
      <c r="G187" s="41">
        <v>21.42</v>
      </c>
      <c r="H187" s="41">
        <v>0</v>
      </c>
      <c r="I187" s="41">
        <v>0.73180000000000001</v>
      </c>
      <c r="J187" s="41">
        <v>0</v>
      </c>
      <c r="K187" s="41">
        <v>200.89930000000001</v>
      </c>
      <c r="L187" s="41">
        <v>23.438199999999998</v>
      </c>
      <c r="M187" s="41">
        <v>0</v>
      </c>
      <c r="N187" s="41">
        <v>0</v>
      </c>
      <c r="O187" s="42">
        <f>SUM(G187:N187)</f>
        <v>246.48930000000001</v>
      </c>
      <c r="P187" s="42">
        <f>SUMPRODUCT(G187:N187,$G$2:$N$2)*1000/Assumptions!$C$15</f>
        <v>73.666685520821119</v>
      </c>
      <c r="Q187" s="43">
        <f>IF(ISNUMBER(Finder!$G$5),Finder!$D$8*Assumptions!$C$16*2*ASIN(SQRT(SIN(RADIANS(E187-Finder!$G$5)/2)^2+COS(RADIANS(Finder!$G$5))*COS(RADIANS(E187))*SIN(RADIANS(F187-Finder!$G$6)/2)^2)),"")</f>
        <v>954.30940276431215</v>
      </c>
      <c r="R187" s="39">
        <f>IF(ISNUMBER(Q187),IF(Q187&lt;=Finder!$D$7,1,0),0)</f>
        <v>0</v>
      </c>
      <c r="S187" s="39" t="str">
        <f>IF(R187=1,O187+ROW()*0.000000001,"")</f>
        <v/>
      </c>
      <c r="T187" s="39" t="str">
        <f>IF(O187&gt;0,INDEX(Calc!$B$4:$B$11,MATCH(MAX(G187:N187),G187:N187,0)),"-")</f>
        <v>Cane Trash</v>
      </c>
    </row>
    <row r="188" spans="1:20">
      <c r="A188" s="39">
        <v>185</v>
      </c>
      <c r="B188" s="39" t="s">
        <v>230</v>
      </c>
      <c r="C188" s="39" t="s">
        <v>254</v>
      </c>
      <c r="D188" s="39" t="str">
        <f>B188&amp;"|"&amp;C188</f>
        <v>Gujarat|Panch Mahals</v>
      </c>
      <c r="E188" s="40">
        <v>22.78</v>
      </c>
      <c r="F188" s="40">
        <v>73.61</v>
      </c>
      <c r="G188" s="41">
        <v>21.84</v>
      </c>
      <c r="H188" s="41">
        <v>6.3</v>
      </c>
      <c r="I188" s="41">
        <v>152.10929999999999</v>
      </c>
      <c r="J188" s="41">
        <v>0.56100000000000005</v>
      </c>
      <c r="K188" s="41">
        <v>0.79559999999999997</v>
      </c>
      <c r="L188" s="41">
        <v>9.2799999999999994E-2</v>
      </c>
      <c r="M188" s="41">
        <v>1.6144000000000001</v>
      </c>
      <c r="N188" s="41">
        <v>0</v>
      </c>
      <c r="O188" s="42">
        <f>SUM(G188:N188)</f>
        <v>183.31310000000002</v>
      </c>
      <c r="P188" s="42">
        <f>SUMPRODUCT(G188:N188,$G$2:$N$2)*1000/Assumptions!$C$15</f>
        <v>55.997258185337252</v>
      </c>
      <c r="Q188" s="43">
        <f>IF(ISNUMBER(Finder!$G$5),Finder!$D$8*Assumptions!$C$16*2*ASIN(SQRT(SIN(RADIANS(E188-Finder!$G$5)/2)^2+COS(RADIANS(Finder!$G$5))*COS(RADIANS(E188))*SIN(RADIANS(F188-Finder!$G$6)/2)^2)),"")</f>
        <v>739.00017546285915</v>
      </c>
      <c r="R188" s="39">
        <f>IF(ISNUMBER(Q188),IF(Q188&lt;=Finder!$D$7,1,0),0)</f>
        <v>0</v>
      </c>
      <c r="S188" s="39" t="str">
        <f>IF(R188=1,O188+ROW()*0.000000001,"")</f>
        <v/>
      </c>
      <c r="T188" s="39" t="str">
        <f>IF(O188&gt;0,INDEX(Calc!$B$4:$B$11,MATCH(MAX(G188:N188),G188:N188,0)),"-")</f>
        <v>Maize Stover</v>
      </c>
    </row>
    <row r="189" spans="1:20">
      <c r="A189" s="39">
        <v>186</v>
      </c>
      <c r="B189" s="39" t="s">
        <v>230</v>
      </c>
      <c r="C189" s="39" t="s">
        <v>255</v>
      </c>
      <c r="D189" s="39" t="str">
        <f>B189&amp;"|"&amp;C189</f>
        <v>Gujarat|Patan</v>
      </c>
      <c r="E189" s="40">
        <v>23.85</v>
      </c>
      <c r="F189" s="40">
        <v>72.13</v>
      </c>
      <c r="G189" s="41">
        <v>0</v>
      </c>
      <c r="H189" s="41">
        <v>17.100000000000001</v>
      </c>
      <c r="I189" s="41">
        <v>0</v>
      </c>
      <c r="J189" s="41">
        <v>34.752600000000001</v>
      </c>
      <c r="K189" s="41">
        <v>0</v>
      </c>
      <c r="L189" s="41">
        <v>0</v>
      </c>
      <c r="M189" s="41">
        <v>0</v>
      </c>
      <c r="N189" s="41">
        <v>0</v>
      </c>
      <c r="O189" s="42">
        <f>SUM(G189:N189)</f>
        <v>51.852600000000002</v>
      </c>
      <c r="P189" s="42">
        <f>SUMPRODUCT(G189:N189,$G$2:$N$2)*1000/Assumptions!$C$15</f>
        <v>16.491660767155427</v>
      </c>
      <c r="Q189" s="43">
        <f>IF(ISNUMBER(Finder!$G$5),Finder!$D$8*Assumptions!$C$16*2*ASIN(SQRT(SIN(RADIANS(E189-Finder!$G$5)/2)^2+COS(RADIANS(Finder!$G$5))*COS(RADIANS(E189))*SIN(RADIANS(F189-Finder!$G$6)/2)^2)),"")</f>
        <v>689.03763126786259</v>
      </c>
      <c r="R189" s="39">
        <f>IF(ISNUMBER(Q189),IF(Q189&lt;=Finder!$D$7,1,0),0)</f>
        <v>0</v>
      </c>
      <c r="S189" s="39" t="str">
        <f>IF(R189=1,O189+ROW()*0.000000001,"")</f>
        <v/>
      </c>
      <c r="T189" s="39" t="str">
        <f>IF(O189&gt;0,INDEX(Calc!$B$4:$B$11,MATCH(MAX(G189:N189),G189:N189,0)),"-")</f>
        <v>Mustard Stalk</v>
      </c>
    </row>
    <row r="190" spans="1:20">
      <c r="A190" s="39">
        <v>187</v>
      </c>
      <c r="B190" s="39" t="s">
        <v>230</v>
      </c>
      <c r="C190" s="39" t="s">
        <v>256</v>
      </c>
      <c r="D190" s="39" t="str">
        <f>B190&amp;"|"&amp;C190</f>
        <v>Gujarat|Porbandar</v>
      </c>
      <c r="E190" s="40">
        <v>21.64</v>
      </c>
      <c r="F190" s="40">
        <v>69.61</v>
      </c>
      <c r="G190" s="41">
        <v>0</v>
      </c>
      <c r="H190" s="41">
        <v>12.6</v>
      </c>
      <c r="I190" s="41">
        <v>0.10390000000000001</v>
      </c>
      <c r="J190" s="41">
        <v>0</v>
      </c>
      <c r="K190" s="41">
        <v>0</v>
      </c>
      <c r="L190" s="41">
        <v>0</v>
      </c>
      <c r="M190" s="41">
        <v>0.44190000000000002</v>
      </c>
      <c r="N190" s="41">
        <v>0</v>
      </c>
      <c r="O190" s="42">
        <f>SUM(G190:N190)</f>
        <v>13.145799999999999</v>
      </c>
      <c r="P190" s="42">
        <f>SUMPRODUCT(G190:N190,$G$2:$N$2)*1000/Assumptions!$C$15</f>
        <v>4.7886961642228734</v>
      </c>
      <c r="Q190" s="43">
        <f>IF(ISNUMBER(Finder!$G$5),Finder!$D$8*Assumptions!$C$16*2*ASIN(SQRT(SIN(RADIANS(E190-Finder!$G$5)/2)^2+COS(RADIANS(Finder!$G$5))*COS(RADIANS(E190))*SIN(RADIANS(F190-Finder!$G$6)/2)^2)),"")</f>
        <v>1035.8908270064585</v>
      </c>
      <c r="R190" s="39">
        <f>IF(ISNUMBER(Q190),IF(Q190&lt;=Finder!$D$7,1,0),0)</f>
        <v>0</v>
      </c>
      <c r="S190" s="39" t="str">
        <f>IF(R190=1,O190+ROW()*0.000000001,"")</f>
        <v/>
      </c>
      <c r="T190" s="39" t="str">
        <f>IF(O190&gt;0,INDEX(Calc!$B$4:$B$11,MATCH(MAX(G190:N190),G190:N190,0)),"-")</f>
        <v>Wheat Straw</v>
      </c>
    </row>
    <row r="191" spans="1:20">
      <c r="A191" s="39">
        <v>188</v>
      </c>
      <c r="B191" s="39" t="s">
        <v>230</v>
      </c>
      <c r="C191" s="39" t="s">
        <v>257</v>
      </c>
      <c r="D191" s="39" t="str">
        <f>B191&amp;"|"&amp;C191</f>
        <v>Gujarat|Rajkot</v>
      </c>
      <c r="E191" s="40">
        <v>22.3</v>
      </c>
      <c r="F191" s="40">
        <v>70.8</v>
      </c>
      <c r="G191" s="41">
        <v>0</v>
      </c>
      <c r="H191" s="41">
        <v>46.35</v>
      </c>
      <c r="I191" s="41">
        <v>0</v>
      </c>
      <c r="J191" s="41">
        <v>0.26950000000000002</v>
      </c>
      <c r="K191" s="41">
        <v>0.1134</v>
      </c>
      <c r="L191" s="41">
        <v>1.32E-2</v>
      </c>
      <c r="M191" s="41">
        <v>24.4099</v>
      </c>
      <c r="N191" s="41">
        <v>0</v>
      </c>
      <c r="O191" s="42">
        <f>SUM(G191:N191)</f>
        <v>71.156000000000006</v>
      </c>
      <c r="P191" s="42">
        <f>SUMPRODUCT(G191:N191,$G$2:$N$2)*1000/Assumptions!$C$15</f>
        <v>24.814471028739003</v>
      </c>
      <c r="Q191" s="43">
        <f>IF(ISNUMBER(Finder!$G$5),Finder!$D$8*Assumptions!$C$16*2*ASIN(SQRT(SIN(RADIANS(E191-Finder!$G$5)/2)^2+COS(RADIANS(Finder!$G$5))*COS(RADIANS(E191))*SIN(RADIANS(F191-Finder!$G$6)/2)^2)),"")</f>
        <v>906.94701326794143</v>
      </c>
      <c r="R191" s="39">
        <f>IF(ISNUMBER(Q191),IF(Q191&lt;=Finder!$D$7,1,0),0)</f>
        <v>0</v>
      </c>
      <c r="S191" s="39" t="str">
        <f>IF(R191=1,O191+ROW()*0.000000001,"")</f>
        <v/>
      </c>
      <c r="T191" s="39" t="str">
        <f>IF(O191&gt;0,INDEX(Calc!$B$4:$B$11,MATCH(MAX(G191:N191),G191:N191,0)),"-")</f>
        <v>Wheat Straw</v>
      </c>
    </row>
    <row r="192" spans="1:20">
      <c r="A192" s="39">
        <v>189</v>
      </c>
      <c r="B192" s="39" t="s">
        <v>230</v>
      </c>
      <c r="C192" s="39" t="s">
        <v>258</v>
      </c>
      <c r="D192" s="39" t="str">
        <f>B192&amp;"|"&amp;C192</f>
        <v>Gujarat|Sabar Kantha</v>
      </c>
      <c r="E192" s="40">
        <v>23.6</v>
      </c>
      <c r="F192" s="40">
        <v>72.97</v>
      </c>
      <c r="G192" s="41">
        <v>2.94</v>
      </c>
      <c r="H192" s="41">
        <v>35.1</v>
      </c>
      <c r="I192" s="41">
        <v>38.033099999999997</v>
      </c>
      <c r="J192" s="41">
        <v>4.3163</v>
      </c>
      <c r="K192" s="41">
        <v>0</v>
      </c>
      <c r="L192" s="41">
        <v>0</v>
      </c>
      <c r="M192" s="41">
        <v>21.423500000000001</v>
      </c>
      <c r="N192" s="41">
        <v>0</v>
      </c>
      <c r="O192" s="42">
        <f>SUM(G192:N192)</f>
        <v>101.8129</v>
      </c>
      <c r="P192" s="42">
        <f>SUMPRODUCT(G192:N192,$G$2:$N$2)*1000/Assumptions!$C$15</f>
        <v>33.167449807624635</v>
      </c>
      <c r="Q192" s="43">
        <f>IF(ISNUMBER(Finder!$G$5),Finder!$D$8*Assumptions!$C$16*2*ASIN(SQRT(SIN(RADIANS(E192-Finder!$G$5)/2)^2+COS(RADIANS(Finder!$G$5))*COS(RADIANS(E192))*SIN(RADIANS(F192-Finder!$G$6)/2)^2)),"")</f>
        <v>675.12846336175073</v>
      </c>
      <c r="R192" s="39">
        <f>IF(ISNUMBER(Q192),IF(Q192&lt;=Finder!$D$7,1,0),0)</f>
        <v>0</v>
      </c>
      <c r="S192" s="39" t="str">
        <f>IF(R192=1,O192+ROW()*0.000000001,"")</f>
        <v/>
      </c>
      <c r="T192" s="39" t="str">
        <f>IF(O192&gt;0,INDEX(Calc!$B$4:$B$11,MATCH(MAX(G192:N192),G192:N192,0)),"-")</f>
        <v>Maize Stover</v>
      </c>
    </row>
    <row r="193" spans="1:20">
      <c r="A193" s="39">
        <v>190</v>
      </c>
      <c r="B193" s="39" t="s">
        <v>230</v>
      </c>
      <c r="C193" s="39" t="s">
        <v>259</v>
      </c>
      <c r="D193" s="39" t="str">
        <f>B193&amp;"|"&amp;C193</f>
        <v>Gujarat|Surat</v>
      </c>
      <c r="E193" s="40">
        <v>21.17</v>
      </c>
      <c r="F193" s="40">
        <v>72.83</v>
      </c>
      <c r="G193" s="41">
        <v>27.3</v>
      </c>
      <c r="H193" s="41">
        <v>1.35</v>
      </c>
      <c r="I193" s="41">
        <v>6.9751000000000003</v>
      </c>
      <c r="J193" s="41">
        <v>3.1199999999999999E-2</v>
      </c>
      <c r="K193" s="41">
        <v>1128.8717999999999</v>
      </c>
      <c r="L193" s="41">
        <v>131.70169999999999</v>
      </c>
      <c r="M193" s="41">
        <v>10.2165</v>
      </c>
      <c r="N193" s="41">
        <v>0</v>
      </c>
      <c r="O193" s="42">
        <f>SUM(G193:N193)</f>
        <v>1306.4463000000001</v>
      </c>
      <c r="P193" s="42">
        <f>SUMPRODUCT(G193:N193,$G$2:$N$2)*1000/Assumptions!$C$15</f>
        <v>384.40061891818175</v>
      </c>
      <c r="Q193" s="43">
        <f>IF(ISNUMBER(Finder!$G$5),Finder!$D$8*Assumptions!$C$16*2*ASIN(SQRT(SIN(RADIANS(E193-Finder!$G$5)/2)^2+COS(RADIANS(Finder!$G$5))*COS(RADIANS(E193))*SIN(RADIANS(F193-Finder!$G$6)/2)^2)),"")</f>
        <v>933.66794475840538</v>
      </c>
      <c r="R193" s="39">
        <f>IF(ISNUMBER(Q193),IF(Q193&lt;=Finder!$D$7,1,0),0)</f>
        <v>0</v>
      </c>
      <c r="S193" s="39" t="str">
        <f>IF(R193=1,O193+ROW()*0.000000001,"")</f>
        <v/>
      </c>
      <c r="T193" s="39" t="str">
        <f>IF(O193&gt;0,INDEX(Calc!$B$4:$B$11,MATCH(MAX(G193:N193),G193:N193,0)),"-")</f>
        <v>Cane Trash</v>
      </c>
    </row>
    <row r="194" spans="1:20">
      <c r="A194" s="39">
        <v>191</v>
      </c>
      <c r="B194" s="39" t="s">
        <v>230</v>
      </c>
      <c r="C194" s="39" t="s">
        <v>260</v>
      </c>
      <c r="D194" s="39" t="str">
        <f>B194&amp;"|"&amp;C194</f>
        <v>Gujarat|Surendranagar</v>
      </c>
      <c r="E194" s="40">
        <v>22.73</v>
      </c>
      <c r="F194" s="40">
        <v>71.64</v>
      </c>
      <c r="G194" s="41">
        <v>1.68</v>
      </c>
      <c r="H194" s="41">
        <v>21.6</v>
      </c>
      <c r="I194" s="41">
        <v>0</v>
      </c>
      <c r="J194" s="41">
        <v>9.1385000000000005</v>
      </c>
      <c r="K194" s="41">
        <v>0</v>
      </c>
      <c r="L194" s="41">
        <v>0</v>
      </c>
      <c r="M194" s="41">
        <v>1.4376</v>
      </c>
      <c r="N194" s="41">
        <v>0</v>
      </c>
      <c r="O194" s="42">
        <f>SUM(G194:N194)</f>
        <v>33.856100000000005</v>
      </c>
      <c r="P194" s="42">
        <f>SUMPRODUCT(G194:N194,$G$2:$N$2)*1000/Assumptions!$C$15</f>
        <v>11.67574159648094</v>
      </c>
      <c r="Q194" s="43">
        <f>IF(ISNUMBER(Finder!$G$5),Finder!$D$8*Assumptions!$C$16*2*ASIN(SQRT(SIN(RADIANS(E194-Finder!$G$5)/2)^2+COS(RADIANS(Finder!$G$5))*COS(RADIANS(E194))*SIN(RADIANS(F194-Finder!$G$6)/2)^2)),"")</f>
        <v>822.03373685190491</v>
      </c>
      <c r="R194" s="39">
        <f>IF(ISNUMBER(Q194),IF(Q194&lt;=Finder!$D$7,1,0),0)</f>
        <v>0</v>
      </c>
      <c r="S194" s="39" t="str">
        <f>IF(R194=1,O194+ROW()*0.000000001,"")</f>
        <v/>
      </c>
      <c r="T194" s="39" t="str">
        <f>IF(O194&gt;0,INDEX(Calc!$B$4:$B$11,MATCH(MAX(G194:N194),G194:N194,0)),"-")</f>
        <v>Wheat Straw</v>
      </c>
    </row>
    <row r="195" spans="1:20">
      <c r="A195" s="39">
        <v>192</v>
      </c>
      <c r="B195" s="39" t="s">
        <v>230</v>
      </c>
      <c r="C195" s="39" t="s">
        <v>261</v>
      </c>
      <c r="D195" s="39" t="str">
        <f>B195&amp;"|"&amp;C195</f>
        <v>Gujarat|Tapi</v>
      </c>
      <c r="E195" s="40">
        <v>21.12</v>
      </c>
      <c r="F195" s="40">
        <v>73.39</v>
      </c>
      <c r="G195" s="41">
        <v>29.4</v>
      </c>
      <c r="H195" s="41">
        <v>1.8</v>
      </c>
      <c r="I195" s="41">
        <v>10.217499999999999</v>
      </c>
      <c r="J195" s="41">
        <v>0</v>
      </c>
      <c r="K195" s="41">
        <v>384.3725</v>
      </c>
      <c r="L195" s="41">
        <v>44.843499999999999</v>
      </c>
      <c r="M195" s="41">
        <v>10.1526</v>
      </c>
      <c r="N195" s="41">
        <v>0</v>
      </c>
      <c r="O195" s="42">
        <f>SUM(G195:N195)</f>
        <v>480.78610000000003</v>
      </c>
      <c r="P195" s="42">
        <f>SUMPRODUCT(G195:N195,$G$2:$N$2)*1000/Assumptions!$C$15</f>
        <v>143.1578538384164</v>
      </c>
      <c r="Q195" s="43">
        <f>IF(ISNUMBER(Finder!$G$5),Finder!$D$8*Assumptions!$C$16*2*ASIN(SQRT(SIN(RADIANS(E195-Finder!$G$5)/2)^2+COS(RADIANS(Finder!$G$5))*COS(RADIANS(E195))*SIN(RADIANS(F195-Finder!$G$6)/2)^2)),"")</f>
        <v>923.10631828166152</v>
      </c>
      <c r="R195" s="39">
        <f>IF(ISNUMBER(Q195),IF(Q195&lt;=Finder!$D$7,1,0),0)</f>
        <v>0</v>
      </c>
      <c r="S195" s="39" t="str">
        <f>IF(R195=1,O195+ROW()*0.000000001,"")</f>
        <v/>
      </c>
      <c r="T195" s="39" t="str">
        <f>IF(O195&gt;0,INDEX(Calc!$B$4:$B$11,MATCH(MAX(G195:N195),G195:N195,0)),"-")</f>
        <v>Cane Trash</v>
      </c>
    </row>
    <row r="196" spans="1:20">
      <c r="A196" s="39">
        <v>193</v>
      </c>
      <c r="B196" s="39" t="s">
        <v>230</v>
      </c>
      <c r="C196" s="39" t="s">
        <v>262</v>
      </c>
      <c r="D196" s="39" t="str">
        <f>B196&amp;"|"&amp;C196</f>
        <v>Gujarat|Vadodara</v>
      </c>
      <c r="E196" s="40">
        <v>22.31</v>
      </c>
      <c r="F196" s="40">
        <v>73.180000000000007</v>
      </c>
      <c r="G196" s="41">
        <v>15.96</v>
      </c>
      <c r="H196" s="41">
        <v>9.4499999999999993</v>
      </c>
      <c r="I196" s="41">
        <v>10.815</v>
      </c>
      <c r="J196" s="41">
        <v>0.1145</v>
      </c>
      <c r="K196" s="41">
        <v>2.2719999999999998</v>
      </c>
      <c r="L196" s="41">
        <v>0.2651</v>
      </c>
      <c r="M196" s="41">
        <v>9.8009000000000004</v>
      </c>
      <c r="N196" s="41">
        <v>0</v>
      </c>
      <c r="O196" s="42">
        <f>SUM(G196:N196)</f>
        <v>48.677499999999995</v>
      </c>
      <c r="P196" s="42">
        <f>SUMPRODUCT(G196:N196,$G$2:$N$2)*1000/Assumptions!$C$15</f>
        <v>16.366300759237536</v>
      </c>
      <c r="Q196" s="43">
        <f>IF(ISNUMBER(Finder!$G$5),Finder!$D$8*Assumptions!$C$16*2*ASIN(SQRT(SIN(RADIANS(E196-Finder!$G$5)/2)^2+COS(RADIANS(Finder!$G$5))*COS(RADIANS(E196))*SIN(RADIANS(F196-Finder!$G$6)/2)^2)),"")</f>
        <v>801.91936025968698</v>
      </c>
      <c r="R196" s="39">
        <f>IF(ISNUMBER(Q196),IF(Q196&lt;=Finder!$D$7,1,0),0)</f>
        <v>0</v>
      </c>
      <c r="S196" s="39" t="str">
        <f>IF(R196=1,O196+ROW()*0.000000001,"")</f>
        <v/>
      </c>
      <c r="T196" s="39" t="str">
        <f>IF(O196&gt;0,INDEX(Calc!$B$4:$B$11,MATCH(MAX(G196:N196),G196:N196,0)),"-")</f>
        <v>Paddy Straw</v>
      </c>
    </row>
    <row r="197" spans="1:20">
      <c r="A197" s="39">
        <v>194</v>
      </c>
      <c r="B197" s="39" t="s">
        <v>230</v>
      </c>
      <c r="C197" s="39" t="s">
        <v>263</v>
      </c>
      <c r="D197" s="39" t="str">
        <f>B197&amp;"|"&amp;C197</f>
        <v>Gujarat|Valsad</v>
      </c>
      <c r="E197" s="40">
        <v>20.61</v>
      </c>
      <c r="F197" s="40">
        <v>72.930000000000007</v>
      </c>
      <c r="G197" s="41">
        <v>31.92</v>
      </c>
      <c r="H197" s="41">
        <v>0</v>
      </c>
      <c r="I197" s="41">
        <v>0</v>
      </c>
      <c r="J197" s="41">
        <v>0</v>
      </c>
      <c r="K197" s="41">
        <v>72.146199999999993</v>
      </c>
      <c r="L197" s="41">
        <v>8.4170999999999996</v>
      </c>
      <c r="M197" s="41">
        <v>0</v>
      </c>
      <c r="N197" s="41">
        <v>0</v>
      </c>
      <c r="O197" s="42">
        <f>SUM(G197:N197)</f>
        <v>112.4833</v>
      </c>
      <c r="P197" s="42">
        <f>SUMPRODUCT(G197:N197,$G$2:$N$2)*1000/Assumptions!$C$15</f>
        <v>35.258376211436946</v>
      </c>
      <c r="Q197" s="43">
        <f>IF(ISNUMBER(Finder!$G$5),Finder!$D$8*Assumptions!$C$16*2*ASIN(SQRT(SIN(RADIANS(E197-Finder!$G$5)/2)^2+COS(RADIANS(Finder!$G$5))*COS(RADIANS(E197))*SIN(RADIANS(F197-Finder!$G$6)/2)^2)),"")</f>
        <v>990.31004421344562</v>
      </c>
      <c r="R197" s="39">
        <f>IF(ISNUMBER(Q197),IF(Q197&lt;=Finder!$D$7,1,0),0)</f>
        <v>0</v>
      </c>
      <c r="S197" s="39" t="str">
        <f>IF(R197=1,O197+ROW()*0.000000001,"")</f>
        <v/>
      </c>
      <c r="T197" s="39" t="str">
        <f>IF(O197&gt;0,INDEX(Calc!$B$4:$B$11,MATCH(MAX(G197:N197),G197:N197,0)),"-")</f>
        <v>Cane Trash</v>
      </c>
    </row>
    <row r="198" spans="1:20">
      <c r="A198" s="39">
        <v>195</v>
      </c>
      <c r="B198" s="39" t="s">
        <v>5</v>
      </c>
      <c r="C198" s="39" t="s">
        <v>264</v>
      </c>
      <c r="D198" s="39" t="str">
        <f>B198&amp;"|"&amp;C198</f>
        <v>Haryana|Ambala</v>
      </c>
      <c r="E198" s="40">
        <v>30.38</v>
      </c>
      <c r="F198" s="40">
        <v>76.78</v>
      </c>
      <c r="G198" s="41">
        <v>35.28</v>
      </c>
      <c r="H198" s="41">
        <v>40.049999999999997</v>
      </c>
      <c r="I198" s="41">
        <v>0.19950000000000001</v>
      </c>
      <c r="J198" s="41">
        <v>7.4173999999999998</v>
      </c>
      <c r="K198" s="41">
        <v>0</v>
      </c>
      <c r="L198" s="41">
        <v>0</v>
      </c>
      <c r="M198" s="41">
        <v>0</v>
      </c>
      <c r="N198" s="41">
        <v>0</v>
      </c>
      <c r="O198" s="42">
        <f>SUM(G198:N198)</f>
        <v>82.946899999999999</v>
      </c>
      <c r="P198" s="42">
        <f>SUMPRODUCT(G198:N198,$G$2:$N$2)*1000/Assumptions!$C$15</f>
        <v>29.853285309090911</v>
      </c>
      <c r="Q198" s="43">
        <f>IF(ISNUMBER(Finder!$G$5),Finder!$D$8*Assumptions!$C$16*2*ASIN(SQRT(SIN(RADIANS(E198-Finder!$G$5)/2)^2+COS(RADIANS(Finder!$G$5))*COS(RADIANS(E198))*SIN(RADIANS(F198-Finder!$G$6)/2)^2)),"")</f>
        <v>170.80319597657908</v>
      </c>
      <c r="R198" s="39">
        <f>IF(ISNUMBER(Q198),IF(Q198&lt;=Finder!$D$7,1,0),0)</f>
        <v>0</v>
      </c>
      <c r="S198" s="39" t="str">
        <f>IF(R198=1,O198+ROW()*0.000000001,"")</f>
        <v/>
      </c>
      <c r="T198" s="39" t="str">
        <f>IF(O198&gt;0,INDEX(Calc!$B$4:$B$11,MATCH(MAX(G198:N198),G198:N198,0)),"-")</f>
        <v>Wheat Straw</v>
      </c>
    </row>
    <row r="199" spans="1:20">
      <c r="A199" s="39">
        <v>196</v>
      </c>
      <c r="B199" s="39" t="s">
        <v>5</v>
      </c>
      <c r="C199" s="39" t="s">
        <v>265</v>
      </c>
      <c r="D199" s="39" t="str">
        <f>B199&amp;"|"&amp;C199</f>
        <v>Haryana|Bhiwani</v>
      </c>
      <c r="E199" s="40">
        <v>28.79</v>
      </c>
      <c r="F199" s="40">
        <v>76.13</v>
      </c>
      <c r="G199" s="41">
        <v>13.44</v>
      </c>
      <c r="H199" s="41">
        <v>45</v>
      </c>
      <c r="I199" s="41">
        <v>0</v>
      </c>
      <c r="J199" s="41">
        <v>140.25020000000001</v>
      </c>
      <c r="K199" s="41">
        <v>0</v>
      </c>
      <c r="L199" s="41">
        <v>0</v>
      </c>
      <c r="M199" s="41">
        <v>0</v>
      </c>
      <c r="N199" s="41">
        <v>0</v>
      </c>
      <c r="O199" s="42">
        <f>SUM(G199:N199)</f>
        <v>198.6902</v>
      </c>
      <c r="P199" s="42">
        <f>SUMPRODUCT(G199:N199,$G$2:$N$2)*1000/Assumptions!$C$15</f>
        <v>62.680489334897366</v>
      </c>
      <c r="Q199" s="43">
        <f>IF(ISNUMBER(Finder!$G$5),Finder!$D$8*Assumptions!$C$16*2*ASIN(SQRT(SIN(RADIANS(E199-Finder!$G$5)/2)^2+COS(RADIANS(Finder!$G$5))*COS(RADIANS(E199))*SIN(RADIANS(F199-Finder!$G$6)/2)^2)),"")</f>
        <v>56.508840638602003</v>
      </c>
      <c r="R199" s="39">
        <f>IF(ISNUMBER(Q199),IF(Q199&lt;=Finder!$D$7,1,0),0)</f>
        <v>1</v>
      </c>
      <c r="S199" s="39">
        <f>IF(R199=1,O199+ROW()*0.000000001,"")</f>
        <v>198.690200199</v>
      </c>
      <c r="T199" s="39" t="str">
        <f>IF(O199&gt;0,INDEX(Calc!$B$4:$B$11,MATCH(MAX(G199:N199),G199:N199,0)),"-")</f>
        <v>Mustard Stalk</v>
      </c>
    </row>
    <row r="200" spans="1:20">
      <c r="A200" s="39">
        <v>197</v>
      </c>
      <c r="B200" s="39" t="s">
        <v>5</v>
      </c>
      <c r="C200" s="39" t="s">
        <v>266</v>
      </c>
      <c r="D200" s="39" t="str">
        <f>B200&amp;"|"&amp;C200</f>
        <v>Haryana|Charkhi Dadri</v>
      </c>
      <c r="E200" s="40">
        <v>28.59</v>
      </c>
      <c r="F200" s="40">
        <v>76.27</v>
      </c>
      <c r="G200" s="41">
        <v>4.2</v>
      </c>
      <c r="H200" s="41">
        <v>19.350000000000001</v>
      </c>
      <c r="I200" s="41">
        <v>0</v>
      </c>
      <c r="J200" s="41">
        <v>48.491599999999998</v>
      </c>
      <c r="K200" s="41">
        <v>0</v>
      </c>
      <c r="L200" s="41">
        <v>0</v>
      </c>
      <c r="M200" s="41">
        <v>0</v>
      </c>
      <c r="N200" s="41">
        <v>0</v>
      </c>
      <c r="O200" s="42">
        <f>SUM(G200:N200)</f>
        <v>72.041600000000003</v>
      </c>
      <c r="P200" s="42">
        <f>SUMPRODUCT(G200:N200,$G$2:$N$2)*1000/Assumptions!$C$15</f>
        <v>22.897699693841641</v>
      </c>
      <c r="Q200" s="43">
        <f>IF(ISNUMBER(Finder!$G$5),Finder!$D$8*Assumptions!$C$16*2*ASIN(SQRT(SIN(RADIANS(E200-Finder!$G$5)/2)^2+COS(RADIANS(Finder!$G$5))*COS(RADIANS(E200))*SIN(RADIANS(F200-Finder!$G$6)/2)^2)),"")</f>
        <v>82.13215682598441</v>
      </c>
      <c r="R200" s="39">
        <f>IF(ISNUMBER(Q200),IF(Q200&lt;=Finder!$D$7,1,0),0)</f>
        <v>1</v>
      </c>
      <c r="S200" s="39">
        <f>IF(R200=1,O200+ROW()*0.000000001,"")</f>
        <v>72.041600200000005</v>
      </c>
      <c r="T200" s="39" t="str">
        <f>IF(O200&gt;0,INDEX(Calc!$B$4:$B$11,MATCH(MAX(G200:N200),G200:N200,0)),"-")</f>
        <v>Mustard Stalk</v>
      </c>
    </row>
    <row r="201" spans="1:20">
      <c r="A201" s="39">
        <v>198</v>
      </c>
      <c r="B201" s="39" t="s">
        <v>5</v>
      </c>
      <c r="C201" s="39" t="s">
        <v>267</v>
      </c>
      <c r="D201" s="39" t="str">
        <f>B201&amp;"|"&amp;C201</f>
        <v>Haryana|Faridabad</v>
      </c>
      <c r="E201" s="40">
        <v>28.41</v>
      </c>
      <c r="F201" s="40">
        <v>77.319999999999993</v>
      </c>
      <c r="G201" s="41">
        <v>6.3</v>
      </c>
      <c r="H201" s="41">
        <v>14.4</v>
      </c>
      <c r="I201" s="41">
        <v>3.6700000000000003E-2</v>
      </c>
      <c r="J201" s="41">
        <v>1.8804000000000001</v>
      </c>
      <c r="K201" s="41">
        <v>0</v>
      </c>
      <c r="L201" s="41">
        <v>0</v>
      </c>
      <c r="M201" s="41">
        <v>0</v>
      </c>
      <c r="N201" s="41">
        <v>0</v>
      </c>
      <c r="O201" s="42">
        <f>SUM(G201:N201)</f>
        <v>22.617100000000001</v>
      </c>
      <c r="P201" s="42">
        <f>SUMPRODUCT(G201:N201,$G$2:$N$2)*1000/Assumptions!$C$15</f>
        <v>8.1516489841642219</v>
      </c>
      <c r="Q201" s="43">
        <f>IF(ISNUMBER(Finder!$G$5),Finder!$D$8*Assumptions!$C$16*2*ASIN(SQRT(SIN(RADIANS(E201-Finder!$G$5)/2)^2+COS(RADIANS(Finder!$G$5))*COS(RADIANS(E201))*SIN(RADIANS(F201-Finder!$G$6)/2)^2)),"")</f>
        <v>176.3108005286465</v>
      </c>
      <c r="R201" s="39">
        <f>IF(ISNUMBER(Q201),IF(Q201&lt;=Finder!$D$7,1,0),0)</f>
        <v>0</v>
      </c>
      <c r="S201" s="39" t="str">
        <f>IF(R201=1,O201+ROW()*0.000000001,"")</f>
        <v/>
      </c>
      <c r="T201" s="39" t="str">
        <f>IF(O201&gt;0,INDEX(Calc!$B$4:$B$11,MATCH(MAX(G201:N201),G201:N201,0)),"-")</f>
        <v>Wheat Straw</v>
      </c>
    </row>
    <row r="202" spans="1:20">
      <c r="A202" s="39">
        <v>199</v>
      </c>
      <c r="B202" s="39" t="s">
        <v>5</v>
      </c>
      <c r="C202" s="39" t="s">
        <v>268</v>
      </c>
      <c r="D202" s="39" t="str">
        <f>B202&amp;"|"&amp;C202</f>
        <v>Haryana|Fatehabad</v>
      </c>
      <c r="E202" s="40">
        <v>29.52</v>
      </c>
      <c r="F202" s="40">
        <v>75.45</v>
      </c>
      <c r="G202" s="41">
        <v>58.8</v>
      </c>
      <c r="H202" s="41">
        <v>82.35</v>
      </c>
      <c r="I202" s="41">
        <v>4.2000000000000003E-2</v>
      </c>
      <c r="J202" s="41">
        <v>24.7879</v>
      </c>
      <c r="K202" s="41">
        <v>0</v>
      </c>
      <c r="L202" s="41">
        <v>0</v>
      </c>
      <c r="M202" s="41">
        <v>0</v>
      </c>
      <c r="N202" s="41">
        <v>0</v>
      </c>
      <c r="O202" s="42">
        <f>SUM(G202:N202)</f>
        <v>165.97989999999999</v>
      </c>
      <c r="P202" s="42">
        <f>SUMPRODUCT(G202:N202,$G$2:$N$2)*1000/Assumptions!$C$15</f>
        <v>59.043637825219946</v>
      </c>
      <c r="Q202" s="43">
        <f>IF(ISNUMBER(Finder!$G$5),Finder!$D$8*Assumptions!$C$16*2*ASIN(SQRT(SIN(RADIANS(E202-Finder!$G$5)/2)^2+COS(RADIANS(Finder!$G$5))*COS(RADIANS(E202))*SIN(RADIANS(F202-Finder!$G$6)/2)^2)),"")</f>
        <v>48.761527167224102</v>
      </c>
      <c r="R202" s="39">
        <f>IF(ISNUMBER(Q202),IF(Q202&lt;=Finder!$D$7,1,0),0)</f>
        <v>1</v>
      </c>
      <c r="S202" s="39">
        <f>IF(R202=1,O202+ROW()*0.000000001,"")</f>
        <v>165.97990020199998</v>
      </c>
      <c r="T202" s="39" t="str">
        <f>IF(O202&gt;0,INDEX(Calc!$B$4:$B$11,MATCH(MAX(G202:N202),G202:N202,0)),"-")</f>
        <v>Wheat Straw</v>
      </c>
    </row>
    <row r="203" spans="1:20">
      <c r="A203" s="39">
        <v>200</v>
      </c>
      <c r="B203" s="39" t="s">
        <v>5</v>
      </c>
      <c r="C203" s="39" t="s">
        <v>269</v>
      </c>
      <c r="D203" s="39" t="str">
        <f>B203&amp;"|"&amp;C203</f>
        <v>Haryana|Gurugram</v>
      </c>
      <c r="E203" s="40">
        <v>28.46</v>
      </c>
      <c r="F203" s="40">
        <v>77.03</v>
      </c>
      <c r="G203" s="41">
        <v>1.68</v>
      </c>
      <c r="H203" s="41">
        <v>14.85</v>
      </c>
      <c r="I203" s="41">
        <v>1.5699999999999999E-2</v>
      </c>
      <c r="J203" s="41">
        <v>28.781400000000001</v>
      </c>
      <c r="K203" s="41">
        <v>0</v>
      </c>
      <c r="L203" s="41">
        <v>0</v>
      </c>
      <c r="M203" s="41">
        <v>0</v>
      </c>
      <c r="N203" s="41">
        <v>0</v>
      </c>
      <c r="O203" s="42">
        <f>SUM(G203:N203)</f>
        <v>45.327100000000002</v>
      </c>
      <c r="P203" s="42">
        <f>SUMPRODUCT(G203:N203,$G$2:$N$2)*1000/Assumptions!$C$15</f>
        <v>14.53072502521994</v>
      </c>
      <c r="Q203" s="43">
        <f>IF(ISNUMBER(Finder!$G$5),Finder!$D$8*Assumptions!$C$16*2*ASIN(SQRT(SIN(RADIANS(E203-Finder!$G$5)/2)^2+COS(RADIANS(Finder!$G$5))*COS(RADIANS(E203))*SIN(RADIANS(F203-Finder!$G$6)/2)^2)),"")</f>
        <v>148.92425949788594</v>
      </c>
      <c r="R203" s="39">
        <f>IF(ISNUMBER(Q203),IF(Q203&lt;=Finder!$D$7,1,0),0)</f>
        <v>0</v>
      </c>
      <c r="S203" s="39" t="str">
        <f>IF(R203=1,O203+ROW()*0.000000001,"")</f>
        <v/>
      </c>
      <c r="T203" s="39" t="str">
        <f>IF(O203&gt;0,INDEX(Calc!$B$4:$B$11,MATCH(MAX(G203:N203),G203:N203,0)),"-")</f>
        <v>Mustard Stalk</v>
      </c>
    </row>
    <row r="204" spans="1:20">
      <c r="A204" s="39">
        <v>201</v>
      </c>
      <c r="B204" s="39" t="s">
        <v>5</v>
      </c>
      <c r="C204" s="39" t="s">
        <v>9</v>
      </c>
      <c r="D204" s="39" t="str">
        <f>B204&amp;"|"&amp;C204</f>
        <v>Haryana|Hisar</v>
      </c>
      <c r="E204" s="40">
        <v>29.15</v>
      </c>
      <c r="F204" s="40">
        <v>75.72</v>
      </c>
      <c r="G204" s="41">
        <v>46.62</v>
      </c>
      <c r="H204" s="41">
        <v>100.8</v>
      </c>
      <c r="I204" s="41">
        <v>3.6700000000000003E-2</v>
      </c>
      <c r="J204" s="41">
        <v>127.71850000000001</v>
      </c>
      <c r="K204" s="41">
        <v>0</v>
      </c>
      <c r="L204" s="41">
        <v>0</v>
      </c>
      <c r="M204" s="41">
        <v>0</v>
      </c>
      <c r="N204" s="41">
        <v>0</v>
      </c>
      <c r="O204" s="42">
        <f>SUM(G204:N204)</f>
        <v>275.17520000000002</v>
      </c>
      <c r="P204" s="42">
        <f>SUMPRODUCT(G204:N204,$G$2:$N$2)*1000/Assumptions!$C$15</f>
        <v>91.62068487741935</v>
      </c>
      <c r="Q204" s="43">
        <f>IF(ISNUMBER(Finder!$G$5),Finder!$D$8*Assumptions!$C$16*2*ASIN(SQRT(SIN(RADIANS(E204-Finder!$G$5)/2)^2+COS(RADIANS(Finder!$G$5))*COS(RADIANS(E204))*SIN(RADIANS(F204-Finder!$G$6)/2)^2)),"")</f>
        <v>0</v>
      </c>
      <c r="R204" s="39">
        <f>IF(ISNUMBER(Q204),IF(Q204&lt;=Finder!$D$7,1,0),0)</f>
        <v>1</v>
      </c>
      <c r="S204" s="39">
        <f>IF(R204=1,O204+ROW()*0.000000001,"")</f>
        <v>275.17520020400002</v>
      </c>
      <c r="T204" s="39" t="str">
        <f>IF(O204&gt;0,INDEX(Calc!$B$4:$B$11,MATCH(MAX(G204:N204),G204:N204,0)),"-")</f>
        <v>Mustard Stalk</v>
      </c>
    </row>
    <row r="205" spans="1:20">
      <c r="A205" s="39">
        <v>202</v>
      </c>
      <c r="B205" s="39" t="s">
        <v>5</v>
      </c>
      <c r="C205" s="39" t="s">
        <v>270</v>
      </c>
      <c r="D205" s="39" t="str">
        <f>B205&amp;"|"&amp;C205</f>
        <v>Haryana|Jhajjar</v>
      </c>
      <c r="E205" s="40">
        <v>28.61</v>
      </c>
      <c r="F205" s="40">
        <v>76.66</v>
      </c>
      <c r="G205" s="41">
        <v>24.36</v>
      </c>
      <c r="H205" s="41">
        <v>44.1</v>
      </c>
      <c r="I205" s="41">
        <v>0.1575</v>
      </c>
      <c r="J205" s="41">
        <v>43.622300000000003</v>
      </c>
      <c r="K205" s="41">
        <v>0</v>
      </c>
      <c r="L205" s="41">
        <v>0</v>
      </c>
      <c r="M205" s="41">
        <v>0</v>
      </c>
      <c r="N205" s="41">
        <v>0</v>
      </c>
      <c r="O205" s="42">
        <f>SUM(G205:N205)</f>
        <v>112.2398</v>
      </c>
      <c r="P205" s="42">
        <f>SUMPRODUCT(G205:N205,$G$2:$N$2)*1000/Assumptions!$C$15</f>
        <v>37.97352526920821</v>
      </c>
      <c r="Q205" s="43">
        <f>IF(ISNUMBER(Finder!$G$5),Finder!$D$8*Assumptions!$C$16*2*ASIN(SQRT(SIN(RADIANS(E205-Finder!$G$5)/2)^2+COS(RADIANS(Finder!$G$5))*COS(RADIANS(E205))*SIN(RADIANS(F205-Finder!$G$6)/2)^2)),"")</f>
        <v>109.46193380611808</v>
      </c>
      <c r="R205" s="39">
        <f>IF(ISNUMBER(Q205),IF(Q205&lt;=Finder!$D$7,1,0),0)</f>
        <v>0</v>
      </c>
      <c r="S205" s="39" t="str">
        <f>IF(R205=1,O205+ROW()*0.000000001,"")</f>
        <v/>
      </c>
      <c r="T205" s="39" t="str">
        <f>IF(O205&gt;0,INDEX(Calc!$B$4:$B$11,MATCH(MAX(G205:N205),G205:N205,0)),"-")</f>
        <v>Wheat Straw</v>
      </c>
    </row>
    <row r="206" spans="1:20">
      <c r="A206" s="39">
        <v>203</v>
      </c>
      <c r="B206" s="39" t="s">
        <v>5</v>
      </c>
      <c r="C206" s="39" t="s">
        <v>271</v>
      </c>
      <c r="D206" s="39" t="str">
        <f>B206&amp;"|"&amp;C206</f>
        <v>Haryana|Jind</v>
      </c>
      <c r="E206" s="40">
        <v>29.32</v>
      </c>
      <c r="F206" s="40">
        <v>76.319999999999993</v>
      </c>
      <c r="G206" s="41">
        <v>70.98</v>
      </c>
      <c r="H206" s="41">
        <v>91.35</v>
      </c>
      <c r="I206" s="41">
        <v>1.5699999999999999E-2</v>
      </c>
      <c r="J206" s="41">
        <v>23.973299999999998</v>
      </c>
      <c r="K206" s="41">
        <v>0</v>
      </c>
      <c r="L206" s="41">
        <v>0</v>
      </c>
      <c r="M206" s="41">
        <v>0</v>
      </c>
      <c r="N206" s="41">
        <v>0</v>
      </c>
      <c r="O206" s="42">
        <f>SUM(G206:N206)</f>
        <v>186.31899999999999</v>
      </c>
      <c r="P206" s="42">
        <f>SUMPRODUCT(G206:N206,$G$2:$N$2)*1000/Assumptions!$C$15</f>
        <v>66.559879395894441</v>
      </c>
      <c r="Q206" s="43">
        <f>IF(ISNUMBER(Finder!$G$5),Finder!$D$8*Assumptions!$C$16*2*ASIN(SQRT(SIN(RADIANS(E206-Finder!$G$5)/2)^2+COS(RADIANS(Finder!$G$5))*COS(RADIANS(E206))*SIN(RADIANS(F206-Finder!$G$6)/2)^2)),"")</f>
        <v>61.210671102678781</v>
      </c>
      <c r="R206" s="39">
        <f>IF(ISNUMBER(Q206),IF(Q206&lt;=Finder!$D$7,1,0),0)</f>
        <v>1</v>
      </c>
      <c r="S206" s="39">
        <f>IF(R206=1,O206+ROW()*0.000000001,"")</f>
        <v>186.319000206</v>
      </c>
      <c r="T206" s="39" t="str">
        <f>IF(O206&gt;0,INDEX(Calc!$B$4:$B$11,MATCH(MAX(G206:N206),G206:N206,0)),"-")</f>
        <v>Wheat Straw</v>
      </c>
    </row>
    <row r="207" spans="1:20">
      <c r="A207" s="39">
        <v>204</v>
      </c>
      <c r="B207" s="39" t="s">
        <v>5</v>
      </c>
      <c r="C207" s="39" t="s">
        <v>272</v>
      </c>
      <c r="D207" s="39" t="str">
        <f>B207&amp;"|"&amp;C207</f>
        <v>Haryana|Kaithal</v>
      </c>
      <c r="E207" s="40">
        <v>29.8</v>
      </c>
      <c r="F207" s="40">
        <v>76.400000000000006</v>
      </c>
      <c r="G207" s="41">
        <v>68.040000000000006</v>
      </c>
      <c r="H207" s="41">
        <v>78.3</v>
      </c>
      <c r="I207" s="41">
        <v>3.6700000000000003E-2</v>
      </c>
      <c r="J207" s="41">
        <v>6.5904999999999996</v>
      </c>
      <c r="K207" s="41">
        <v>0</v>
      </c>
      <c r="L207" s="41">
        <v>0</v>
      </c>
      <c r="M207" s="41">
        <v>0</v>
      </c>
      <c r="N207" s="41">
        <v>0</v>
      </c>
      <c r="O207" s="42">
        <f>SUM(G207:N207)</f>
        <v>152.96719999999999</v>
      </c>
      <c r="P207" s="42">
        <f>SUMPRODUCT(G207:N207,$G$2:$N$2)*1000/Assumptions!$C$15</f>
        <v>55.591151012316729</v>
      </c>
      <c r="Q207" s="43">
        <f>IF(ISNUMBER(Finder!$G$5),Finder!$D$8*Assumptions!$C$16*2*ASIN(SQRT(SIN(RADIANS(E207-Finder!$G$5)/2)^2+COS(RADIANS(Finder!$G$5))*COS(RADIANS(E207))*SIN(RADIANS(F207-Finder!$G$6)/2)^2)),"")</f>
        <v>97.759335617473766</v>
      </c>
      <c r="R207" s="39">
        <f>IF(ISNUMBER(Q207),IF(Q207&lt;=Finder!$D$7,1,0),0)</f>
        <v>1</v>
      </c>
      <c r="S207" s="39">
        <f>IF(R207=1,O207+ROW()*0.000000001,"")</f>
        <v>152.96720020699999</v>
      </c>
      <c r="T207" s="39" t="str">
        <f>IF(O207&gt;0,INDEX(Calc!$B$4:$B$11,MATCH(MAX(G207:N207),G207:N207,0)),"-")</f>
        <v>Wheat Straw</v>
      </c>
    </row>
    <row r="208" spans="1:20">
      <c r="A208" s="39">
        <v>205</v>
      </c>
      <c r="B208" s="39" t="s">
        <v>5</v>
      </c>
      <c r="C208" s="39" t="s">
        <v>273</v>
      </c>
      <c r="D208" s="39" t="str">
        <f>B208&amp;"|"&amp;C208</f>
        <v>Haryana|Karnal</v>
      </c>
      <c r="E208" s="40">
        <v>29.69</v>
      </c>
      <c r="F208" s="40">
        <v>76.989999999999995</v>
      </c>
      <c r="G208" s="41">
        <v>72.239999999999995</v>
      </c>
      <c r="H208" s="41">
        <v>71.099999999999994</v>
      </c>
      <c r="I208" s="41">
        <v>0.36749999999999999</v>
      </c>
      <c r="J208" s="41">
        <v>6.3394000000000004</v>
      </c>
      <c r="K208" s="41">
        <v>0</v>
      </c>
      <c r="L208" s="41">
        <v>0</v>
      </c>
      <c r="M208" s="41">
        <v>0</v>
      </c>
      <c r="N208" s="41">
        <v>0</v>
      </c>
      <c r="O208" s="42">
        <f>SUM(G208:N208)</f>
        <v>150.04689999999999</v>
      </c>
      <c r="P208" s="42">
        <f>SUMPRODUCT(G208:N208,$G$2:$N$2)*1000/Assumptions!$C$15</f>
        <v>54.514934546627558</v>
      </c>
      <c r="Q208" s="43">
        <f>IF(ISNUMBER(Finder!$G$5),Finder!$D$8*Assumptions!$C$16*2*ASIN(SQRT(SIN(RADIANS(E208-Finder!$G$5)/2)^2+COS(RADIANS(Finder!$G$5))*COS(RADIANS(E208))*SIN(RADIANS(F208-Finder!$G$6)/2)^2)),"")</f>
        <v>136.87826343505543</v>
      </c>
      <c r="R208" s="39">
        <f>IF(ISNUMBER(Q208),IF(Q208&lt;=Finder!$D$7,1,0),0)</f>
        <v>0</v>
      </c>
      <c r="S208" s="39" t="str">
        <f>IF(R208=1,O208+ROW()*0.000000001,"")</f>
        <v/>
      </c>
      <c r="T208" s="39" t="str">
        <f>IF(O208&gt;0,INDEX(Calc!$B$4:$B$11,MATCH(MAX(G208:N208),G208:N208,0)),"-")</f>
        <v>Paddy Straw</v>
      </c>
    </row>
    <row r="209" spans="1:20">
      <c r="A209" s="39">
        <v>206</v>
      </c>
      <c r="B209" s="39" t="s">
        <v>5</v>
      </c>
      <c r="C209" s="39" t="s">
        <v>274</v>
      </c>
      <c r="D209" s="39" t="str">
        <f>B209&amp;"|"&amp;C209</f>
        <v>Haryana|Kurukshetra</v>
      </c>
      <c r="E209" s="40">
        <v>29.97</v>
      </c>
      <c r="F209" s="40">
        <v>76.849999999999994</v>
      </c>
      <c r="G209" s="41">
        <v>46.2</v>
      </c>
      <c r="H209" s="41">
        <v>48.6</v>
      </c>
      <c r="I209" s="41">
        <v>0.1575</v>
      </c>
      <c r="J209" s="41">
        <v>7.8829000000000002</v>
      </c>
      <c r="K209" s="41">
        <v>0</v>
      </c>
      <c r="L209" s="41">
        <v>0</v>
      </c>
      <c r="M209" s="41">
        <v>0</v>
      </c>
      <c r="N209" s="41">
        <v>0</v>
      </c>
      <c r="O209" s="42">
        <f>SUM(G209:N209)</f>
        <v>102.84040000000002</v>
      </c>
      <c r="P209" s="42">
        <f>SUMPRODUCT(G209:N209,$G$2:$N$2)*1000/Assumptions!$C$15</f>
        <v>37.114682599413491</v>
      </c>
      <c r="Q209" s="43">
        <f>IF(ISNUMBER(Finder!$G$5),Finder!$D$8*Assumptions!$C$16*2*ASIN(SQRT(SIN(RADIANS(E209-Finder!$G$5)/2)^2+COS(RADIANS(Finder!$G$5))*COS(RADIANS(E209))*SIN(RADIANS(F209-Finder!$G$6)/2)^2)),"")</f>
        <v>142.33337775302334</v>
      </c>
      <c r="R209" s="39">
        <f>IF(ISNUMBER(Q209),IF(Q209&lt;=Finder!$D$7,1,0),0)</f>
        <v>0</v>
      </c>
      <c r="S209" s="39" t="str">
        <f>IF(R209=1,O209+ROW()*0.000000001,"")</f>
        <v/>
      </c>
      <c r="T209" s="39" t="str">
        <f>IF(O209&gt;0,INDEX(Calc!$B$4:$B$11,MATCH(MAX(G209:N209),G209:N209,0)),"-")</f>
        <v>Wheat Straw</v>
      </c>
    </row>
    <row r="210" spans="1:20">
      <c r="A210" s="39">
        <v>207</v>
      </c>
      <c r="B210" s="39" t="s">
        <v>5</v>
      </c>
      <c r="C210" s="39" t="s">
        <v>275</v>
      </c>
      <c r="D210" s="39" t="str">
        <f>B210&amp;"|"&amp;C210</f>
        <v>Haryana|Mahendragarh</v>
      </c>
      <c r="E210" s="40">
        <v>28.04</v>
      </c>
      <c r="F210" s="40">
        <v>76.11</v>
      </c>
      <c r="G210" s="41">
        <v>0</v>
      </c>
      <c r="H210" s="41">
        <v>13.05</v>
      </c>
      <c r="I210" s="41">
        <v>0</v>
      </c>
      <c r="J210" s="41">
        <v>118.4024</v>
      </c>
      <c r="K210" s="41">
        <v>0</v>
      </c>
      <c r="L210" s="41">
        <v>0</v>
      </c>
      <c r="M210" s="41">
        <v>0</v>
      </c>
      <c r="N210" s="41">
        <v>0</v>
      </c>
      <c r="O210" s="42">
        <f>SUM(G210:N210)</f>
        <v>131.45240000000001</v>
      </c>
      <c r="P210" s="42">
        <f>SUMPRODUCT(G210:N210,$G$2:$N$2)*1000/Assumptions!$C$15</f>
        <v>39.615366300293253</v>
      </c>
      <c r="Q210" s="43">
        <f>IF(ISNUMBER(Finder!$G$5),Finder!$D$8*Assumptions!$C$16*2*ASIN(SQRT(SIN(RADIANS(E210-Finder!$G$5)/2)^2+COS(RADIANS(Finder!$G$5))*COS(RADIANS(E210))*SIN(RADIANS(F210-Finder!$G$6)/2)^2)),"")</f>
        <v>129.16577211159301</v>
      </c>
      <c r="R210" s="39">
        <f>IF(ISNUMBER(Q210),IF(Q210&lt;=Finder!$D$7,1,0),0)</f>
        <v>0</v>
      </c>
      <c r="S210" s="39" t="str">
        <f>IF(R210=1,O210+ROW()*0.000000001,"")</f>
        <v/>
      </c>
      <c r="T210" s="39" t="str">
        <f>IF(O210&gt;0,INDEX(Calc!$B$4:$B$11,MATCH(MAX(G210:N210),G210:N210,0)),"-")</f>
        <v>Mustard Stalk</v>
      </c>
    </row>
    <row r="211" spans="1:20">
      <c r="A211" s="39">
        <v>208</v>
      </c>
      <c r="B211" s="39" t="s">
        <v>5</v>
      </c>
      <c r="C211" s="39" t="s">
        <v>276</v>
      </c>
      <c r="D211" s="39" t="str">
        <f>B211&amp;"|"&amp;C211</f>
        <v>Haryana|Nuh</v>
      </c>
      <c r="E211" s="40">
        <v>28.1</v>
      </c>
      <c r="F211" s="40">
        <v>77</v>
      </c>
      <c r="G211" s="41">
        <v>4.2</v>
      </c>
      <c r="H211" s="41">
        <v>31.05</v>
      </c>
      <c r="I211" s="41">
        <v>0</v>
      </c>
      <c r="J211" s="41">
        <v>39.941099999999999</v>
      </c>
      <c r="K211" s="41">
        <v>0</v>
      </c>
      <c r="L211" s="41">
        <v>0</v>
      </c>
      <c r="M211" s="41">
        <v>0</v>
      </c>
      <c r="N211" s="41">
        <v>0</v>
      </c>
      <c r="O211" s="42">
        <f>SUM(G211:N211)</f>
        <v>75.191100000000006</v>
      </c>
      <c r="P211" s="42">
        <f>SUMPRODUCT(G211:N211,$G$2:$N$2)*1000/Assumptions!$C$15</f>
        <v>24.670982808211143</v>
      </c>
      <c r="Q211" s="43">
        <f>IF(ISNUMBER(Finder!$G$5),Finder!$D$8*Assumptions!$C$16*2*ASIN(SQRT(SIN(RADIANS(E211-Finder!$G$5)/2)^2+COS(RADIANS(Finder!$G$5))*COS(RADIANS(E211))*SIN(RADIANS(F211-Finder!$G$6)/2)^2)),"")</f>
        <v>170.99405756673934</v>
      </c>
      <c r="R211" s="39">
        <f>IF(ISNUMBER(Q211),IF(Q211&lt;=Finder!$D$7,1,0),0)</f>
        <v>0</v>
      </c>
      <c r="S211" s="39" t="str">
        <f>IF(R211=1,O211+ROW()*0.000000001,"")</f>
        <v/>
      </c>
      <c r="T211" s="39" t="str">
        <f>IF(O211&gt;0,INDEX(Calc!$B$4:$B$11,MATCH(MAX(G211:N211),G211:N211,0)),"-")</f>
        <v>Mustard Stalk</v>
      </c>
    </row>
    <row r="212" spans="1:20">
      <c r="A212" s="39">
        <v>209</v>
      </c>
      <c r="B212" s="39" t="s">
        <v>5</v>
      </c>
      <c r="C212" s="39" t="s">
        <v>277</v>
      </c>
      <c r="D212" s="39" t="str">
        <f>B212&amp;"|"&amp;C212</f>
        <v>Haryana|Palwal</v>
      </c>
      <c r="E212" s="40">
        <v>28.14</v>
      </c>
      <c r="F212" s="40">
        <v>77.33</v>
      </c>
      <c r="G212" s="41">
        <v>15.96</v>
      </c>
      <c r="H212" s="41">
        <v>42.75</v>
      </c>
      <c r="I212" s="41">
        <v>0</v>
      </c>
      <c r="J212" s="41">
        <v>5.9105999999999996</v>
      </c>
      <c r="K212" s="41">
        <v>0</v>
      </c>
      <c r="L212" s="41">
        <v>0</v>
      </c>
      <c r="M212" s="41">
        <v>0</v>
      </c>
      <c r="N212" s="41">
        <v>0</v>
      </c>
      <c r="O212" s="42">
        <f>SUM(G212:N212)</f>
        <v>64.620599999999996</v>
      </c>
      <c r="P212" s="42">
        <f>SUMPRODUCT(G212:N212,$G$2:$N$2)*1000/Assumptions!$C$15</f>
        <v>23.259191201173021</v>
      </c>
      <c r="Q212" s="43">
        <f>IF(ISNUMBER(Finder!$G$5),Finder!$D$8*Assumptions!$C$16*2*ASIN(SQRT(SIN(RADIANS(E212-Finder!$G$5)/2)^2+COS(RADIANS(Finder!$G$5))*COS(RADIANS(E212))*SIN(RADIANS(F212-Finder!$G$6)/2)^2)),"")</f>
        <v>193.12067253762882</v>
      </c>
      <c r="R212" s="39">
        <f>IF(ISNUMBER(Q212),IF(Q212&lt;=Finder!$D$7,1,0),0)</f>
        <v>0</v>
      </c>
      <c r="S212" s="39" t="str">
        <f>IF(R212=1,O212+ROW()*0.000000001,"")</f>
        <v/>
      </c>
      <c r="T212" s="39" t="str">
        <f>IF(O212&gt;0,INDEX(Calc!$B$4:$B$11,MATCH(MAX(G212:N212),G212:N212,0)),"-")</f>
        <v>Wheat Straw</v>
      </c>
    </row>
    <row r="213" spans="1:20">
      <c r="A213" s="39">
        <v>210</v>
      </c>
      <c r="B213" s="39" t="s">
        <v>5</v>
      </c>
      <c r="C213" s="39" t="s">
        <v>278</v>
      </c>
      <c r="D213" s="39" t="str">
        <f>B213&amp;"|"&amp;C213</f>
        <v>Haryana|Panchkula</v>
      </c>
      <c r="E213" s="40">
        <v>30.69</v>
      </c>
      <c r="F213" s="40">
        <v>76.86</v>
      </c>
      <c r="G213" s="41">
        <v>5.46</v>
      </c>
      <c r="H213" s="41">
        <v>8.1</v>
      </c>
      <c r="I213" s="41">
        <v>6.0113000000000003</v>
      </c>
      <c r="J213" s="41">
        <v>1.3108</v>
      </c>
      <c r="K213" s="41">
        <v>0</v>
      </c>
      <c r="L213" s="41">
        <v>0</v>
      </c>
      <c r="M213" s="41">
        <v>0</v>
      </c>
      <c r="N213" s="41">
        <v>0</v>
      </c>
      <c r="O213" s="42">
        <f>SUM(G213:N213)</f>
        <v>20.882100000000001</v>
      </c>
      <c r="P213" s="42">
        <f>SUMPRODUCT(G213:N213,$G$2:$N$2)*1000/Assumptions!$C$15</f>
        <v>7.1245043507331358</v>
      </c>
      <c r="Q213" s="43">
        <f>IF(ISNUMBER(Finder!$G$5),Finder!$D$8*Assumptions!$C$16*2*ASIN(SQRT(SIN(RADIANS(E213-Finder!$G$5)/2)^2+COS(RADIANS(Finder!$G$5))*COS(RADIANS(E213))*SIN(RADIANS(F213-Finder!$G$6)/2)^2)),"")</f>
        <v>203.45162310865237</v>
      </c>
      <c r="R213" s="39">
        <f>IF(ISNUMBER(Q213),IF(Q213&lt;=Finder!$D$7,1,0),0)</f>
        <v>0</v>
      </c>
      <c r="S213" s="39" t="str">
        <f>IF(R213=1,O213+ROW()*0.000000001,"")</f>
        <v/>
      </c>
      <c r="T213" s="39" t="str">
        <f>IF(O213&gt;0,INDEX(Calc!$B$4:$B$11,MATCH(MAX(G213:N213),G213:N213,0)),"-")</f>
        <v>Wheat Straw</v>
      </c>
    </row>
    <row r="214" spans="1:20">
      <c r="A214" s="39">
        <v>211</v>
      </c>
      <c r="B214" s="39" t="s">
        <v>5</v>
      </c>
      <c r="C214" s="39" t="s">
        <v>279</v>
      </c>
      <c r="D214" s="39" t="str">
        <f>B214&amp;"|"&amp;C214</f>
        <v>Haryana|Panipat</v>
      </c>
      <c r="E214" s="40">
        <v>29.39</v>
      </c>
      <c r="F214" s="40">
        <v>76.97</v>
      </c>
      <c r="G214" s="41">
        <v>29.82</v>
      </c>
      <c r="H214" s="41">
        <v>35.549999999999997</v>
      </c>
      <c r="I214" s="41">
        <v>0.2467</v>
      </c>
      <c r="J214" s="41">
        <v>6.4863999999999997</v>
      </c>
      <c r="K214" s="41">
        <v>0</v>
      </c>
      <c r="L214" s="41">
        <v>0</v>
      </c>
      <c r="M214" s="41">
        <v>0</v>
      </c>
      <c r="N214" s="41">
        <v>0</v>
      </c>
      <c r="O214" s="42">
        <f>SUM(G214:N214)</f>
        <v>72.103100000000012</v>
      </c>
      <c r="P214" s="42">
        <f>SUMPRODUCT(G214:N214,$G$2:$N$2)*1000/Assumptions!$C$15</f>
        <v>25.942407066275663</v>
      </c>
      <c r="Q214" s="43">
        <f>IF(ISNUMBER(Finder!$G$5),Finder!$D$8*Assumptions!$C$16*2*ASIN(SQRT(SIN(RADIANS(E214-Finder!$G$5)/2)^2+COS(RADIANS(Finder!$G$5))*COS(RADIANS(E214))*SIN(RADIANS(F214-Finder!$G$6)/2)^2)),"")</f>
        <v>124.14913362851364</v>
      </c>
      <c r="R214" s="39">
        <f>IF(ISNUMBER(Q214),IF(Q214&lt;=Finder!$D$7,1,0),0)</f>
        <v>0</v>
      </c>
      <c r="S214" s="39" t="str">
        <f>IF(R214=1,O214+ROW()*0.000000001,"")</f>
        <v/>
      </c>
      <c r="T214" s="39" t="str">
        <f>IF(O214&gt;0,INDEX(Calc!$B$4:$B$11,MATCH(MAX(G214:N214),G214:N214,0)),"-")</f>
        <v>Wheat Straw</v>
      </c>
    </row>
    <row r="215" spans="1:20">
      <c r="A215" s="39">
        <v>212</v>
      </c>
      <c r="B215" s="39" t="s">
        <v>5</v>
      </c>
      <c r="C215" s="39" t="s">
        <v>280</v>
      </c>
      <c r="D215" s="39" t="str">
        <f>B215&amp;"|"&amp;C215</f>
        <v>Haryana|Rewari</v>
      </c>
      <c r="E215" s="40">
        <v>28.19</v>
      </c>
      <c r="F215" s="40">
        <v>76.62</v>
      </c>
      <c r="G215" s="41">
        <v>1.26</v>
      </c>
      <c r="H215" s="41">
        <v>14.85</v>
      </c>
      <c r="I215" s="41">
        <v>0</v>
      </c>
      <c r="J215" s="41">
        <v>94.9559</v>
      </c>
      <c r="K215" s="41">
        <v>0</v>
      </c>
      <c r="L215" s="41">
        <v>0</v>
      </c>
      <c r="M215" s="41">
        <v>0</v>
      </c>
      <c r="N215" s="41">
        <v>0</v>
      </c>
      <c r="O215" s="42">
        <f>SUM(G215:N215)</f>
        <v>111.0659</v>
      </c>
      <c r="P215" s="42">
        <f>SUMPRODUCT(G215:N215,$G$2:$N$2)*1000/Assumptions!$C$15</f>
        <v>33.839488312023462</v>
      </c>
      <c r="Q215" s="43">
        <f>IF(ISNUMBER(Finder!$G$5),Finder!$D$8*Assumptions!$C$16*2*ASIN(SQRT(SIN(RADIANS(E215-Finder!$G$5)/2)^2+COS(RADIANS(Finder!$G$5))*COS(RADIANS(E215))*SIN(RADIANS(F215-Finder!$G$6)/2)^2)),"")</f>
        <v>138.21885953271499</v>
      </c>
      <c r="R215" s="39">
        <f>IF(ISNUMBER(Q215),IF(Q215&lt;=Finder!$D$7,1,0),0)</f>
        <v>0</v>
      </c>
      <c r="S215" s="39" t="str">
        <f>IF(R215=1,O215+ROW()*0.000000001,"")</f>
        <v/>
      </c>
      <c r="T215" s="39" t="str">
        <f>IF(O215&gt;0,INDEX(Calc!$B$4:$B$11,MATCH(MAX(G215:N215),G215:N215,0)),"-")</f>
        <v>Mustard Stalk</v>
      </c>
    </row>
    <row r="216" spans="1:20">
      <c r="A216" s="39">
        <v>213</v>
      </c>
      <c r="B216" s="39" t="s">
        <v>5</v>
      </c>
      <c r="C216" s="39" t="s">
        <v>281</v>
      </c>
      <c r="D216" s="39" t="str">
        <f>B216&amp;"|"&amp;C216</f>
        <v>Haryana|Rohtak</v>
      </c>
      <c r="E216" s="40">
        <v>28.89</v>
      </c>
      <c r="F216" s="40">
        <v>76.61</v>
      </c>
      <c r="G216" s="41">
        <v>31.08</v>
      </c>
      <c r="H216" s="41">
        <v>45</v>
      </c>
      <c r="I216" s="41">
        <v>0</v>
      </c>
      <c r="J216" s="41">
        <v>14.540699999999999</v>
      </c>
      <c r="K216" s="41">
        <v>0</v>
      </c>
      <c r="L216" s="41">
        <v>0</v>
      </c>
      <c r="M216" s="41">
        <v>0</v>
      </c>
      <c r="N216" s="41">
        <v>0</v>
      </c>
      <c r="O216" s="42">
        <f>SUM(G216:N216)</f>
        <v>90.620699999999999</v>
      </c>
      <c r="P216" s="42">
        <f>SUMPRODUCT(G216:N216,$G$2:$N$2)*1000/Assumptions!$C$15</f>
        <v>32.165057070967741</v>
      </c>
      <c r="Q216" s="43">
        <f>IF(ISNUMBER(Finder!$G$5),Finder!$D$8*Assumptions!$C$16*2*ASIN(SQRT(SIN(RADIANS(E216-Finder!$G$5)/2)^2+COS(RADIANS(Finder!$G$5))*COS(RADIANS(E216))*SIN(RADIANS(F216-Finder!$G$6)/2)^2)),"")</f>
        <v>91.239833313871571</v>
      </c>
      <c r="R216" s="39">
        <f>IF(ISNUMBER(Q216),IF(Q216&lt;=Finder!$D$7,1,0),0)</f>
        <v>1</v>
      </c>
      <c r="S216" s="39">
        <f>IF(R216=1,O216+ROW()*0.000000001,"")</f>
        <v>90.620700216000003</v>
      </c>
      <c r="T216" s="39" t="str">
        <f>IF(O216&gt;0,INDEX(Calc!$B$4:$B$11,MATCH(MAX(G216:N216),G216:N216,0)),"-")</f>
        <v>Wheat Straw</v>
      </c>
    </row>
    <row r="217" spans="1:20">
      <c r="A217" s="39">
        <v>214</v>
      </c>
      <c r="B217" s="39" t="s">
        <v>5</v>
      </c>
      <c r="C217" s="39" t="s">
        <v>282</v>
      </c>
      <c r="D217" s="39" t="str">
        <f>B217&amp;"|"&amp;C217</f>
        <v>Haryana|Sirsa</v>
      </c>
      <c r="E217" s="40">
        <v>29.53</v>
      </c>
      <c r="F217" s="40">
        <v>75.03</v>
      </c>
      <c r="G217" s="41">
        <v>57.12</v>
      </c>
      <c r="H217" s="41">
        <v>126.45</v>
      </c>
      <c r="I217" s="41">
        <v>8.9200000000000002E-2</v>
      </c>
      <c r="J217" s="41">
        <v>102.92449999999999</v>
      </c>
      <c r="K217" s="41">
        <v>0</v>
      </c>
      <c r="L217" s="41">
        <v>0</v>
      </c>
      <c r="M217" s="41">
        <v>0</v>
      </c>
      <c r="N217" s="41">
        <v>0</v>
      </c>
      <c r="O217" s="42">
        <f>SUM(G217:N217)</f>
        <v>286.58370000000002</v>
      </c>
      <c r="P217" s="42">
        <f>SUMPRODUCT(G217:N217,$G$2:$N$2)*1000/Assumptions!$C$15</f>
        <v>97.593121639882696</v>
      </c>
      <c r="Q217" s="43">
        <f>IF(ISNUMBER(Finder!$G$5),Finder!$D$8*Assumptions!$C$16*2*ASIN(SQRT(SIN(RADIANS(E217-Finder!$G$5)/2)^2+COS(RADIANS(Finder!$G$5))*COS(RADIANS(E217))*SIN(RADIANS(F217-Finder!$G$6)/2)^2)),"")</f>
        <v>79.111801673851346</v>
      </c>
      <c r="R217" s="39">
        <f>IF(ISNUMBER(Q217),IF(Q217&lt;=Finder!$D$7,1,0),0)</f>
        <v>1</v>
      </c>
      <c r="S217" s="39">
        <f>IF(R217=1,O217+ROW()*0.000000001,"")</f>
        <v>286.583700217</v>
      </c>
      <c r="T217" s="39" t="str">
        <f>IF(O217&gt;0,INDEX(Calc!$B$4:$B$11,MATCH(MAX(G217:N217),G217:N217,0)),"-")</f>
        <v>Wheat Straw</v>
      </c>
    </row>
    <row r="218" spans="1:20">
      <c r="A218" s="39">
        <v>215</v>
      </c>
      <c r="B218" s="39" t="s">
        <v>5</v>
      </c>
      <c r="C218" s="39" t="s">
        <v>283</v>
      </c>
      <c r="D218" s="39" t="str">
        <f>B218&amp;"|"&amp;C218</f>
        <v>Haryana|Sonipat</v>
      </c>
      <c r="E218" s="40">
        <v>28.99</v>
      </c>
      <c r="F218" s="40">
        <v>77.02</v>
      </c>
      <c r="G218" s="41">
        <v>49.56</v>
      </c>
      <c r="H218" s="41">
        <v>62.55</v>
      </c>
      <c r="I218" s="41">
        <v>0.78749999999999998</v>
      </c>
      <c r="J218" s="41">
        <v>9.4079999999999995</v>
      </c>
      <c r="K218" s="41">
        <v>0</v>
      </c>
      <c r="L218" s="41">
        <v>0</v>
      </c>
      <c r="M218" s="41">
        <v>0</v>
      </c>
      <c r="N218" s="41">
        <v>0</v>
      </c>
      <c r="O218" s="42">
        <f>SUM(G218:N218)</f>
        <v>122.30549999999999</v>
      </c>
      <c r="P218" s="42">
        <f>SUMPRODUCT(G218:N218,$G$2:$N$2)*1000/Assumptions!$C$15</f>
        <v>44.093727941348966</v>
      </c>
      <c r="Q218" s="43">
        <f>IF(ISNUMBER(Finder!$G$5),Finder!$D$8*Assumptions!$C$16*2*ASIN(SQRT(SIN(RADIANS(E218-Finder!$G$5)/2)^2+COS(RADIANS(Finder!$G$5))*COS(RADIANS(E218))*SIN(RADIANS(F218-Finder!$G$6)/2)^2)),"")</f>
        <v>127.58932306109968</v>
      </c>
      <c r="R218" s="39">
        <f>IF(ISNUMBER(Q218),IF(Q218&lt;=Finder!$D$7,1,0),0)</f>
        <v>0</v>
      </c>
      <c r="S218" s="39" t="str">
        <f>IF(R218=1,O218+ROW()*0.000000001,"")</f>
        <v/>
      </c>
      <c r="T218" s="39" t="str">
        <f>IF(O218&gt;0,INDEX(Calc!$B$4:$B$11,MATCH(MAX(G218:N218),G218:N218,0)),"-")</f>
        <v>Wheat Straw</v>
      </c>
    </row>
    <row r="219" spans="1:20">
      <c r="A219" s="39">
        <v>216</v>
      </c>
      <c r="B219" s="39" t="s">
        <v>5</v>
      </c>
      <c r="C219" s="39" t="s">
        <v>284</v>
      </c>
      <c r="D219" s="39" t="str">
        <f>B219&amp;"|"&amp;C219</f>
        <v>Haryana|Yamunanagar</v>
      </c>
      <c r="E219" s="40">
        <v>30.13</v>
      </c>
      <c r="F219" s="40">
        <v>77.290000000000006</v>
      </c>
      <c r="G219" s="41">
        <v>32.340000000000003</v>
      </c>
      <c r="H219" s="41">
        <v>44.55</v>
      </c>
      <c r="I219" s="41">
        <v>0.20469999999999999</v>
      </c>
      <c r="J219" s="41">
        <v>4.8939000000000004</v>
      </c>
      <c r="K219" s="41">
        <v>0</v>
      </c>
      <c r="L219" s="41">
        <v>0</v>
      </c>
      <c r="M219" s="41">
        <v>0</v>
      </c>
      <c r="N219" s="41">
        <v>0</v>
      </c>
      <c r="O219" s="42">
        <f>SUM(G219:N219)</f>
        <v>81.988600000000005</v>
      </c>
      <c r="P219" s="42">
        <f>SUMPRODUCT(G219:N219,$G$2:$N$2)*1000/Assumptions!$C$15</f>
        <v>29.684271869794721</v>
      </c>
      <c r="Q219" s="43">
        <f>IF(ISNUMBER(Finder!$G$5),Finder!$D$8*Assumptions!$C$16*2*ASIN(SQRT(SIN(RADIANS(E219-Finder!$G$5)/2)^2+COS(RADIANS(Finder!$G$5))*COS(RADIANS(E219))*SIN(RADIANS(F219-Finder!$G$6)/2)^2)),"")</f>
        <v>186.80484602092548</v>
      </c>
      <c r="R219" s="39">
        <f>IF(ISNUMBER(Q219),IF(Q219&lt;=Finder!$D$7,1,0),0)</f>
        <v>0</v>
      </c>
      <c r="S219" s="39" t="str">
        <f>IF(R219=1,O219+ROW()*0.000000001,"")</f>
        <v/>
      </c>
      <c r="T219" s="39" t="str">
        <f>IF(O219&gt;0,INDEX(Calc!$B$4:$B$11,MATCH(MAX(G219:N219),G219:N219,0)),"-")</f>
        <v>Wheat Straw</v>
      </c>
    </row>
    <row r="220" spans="1:20">
      <c r="A220" s="39">
        <v>217</v>
      </c>
      <c r="B220" s="39" t="s">
        <v>285</v>
      </c>
      <c r="C220" s="39" t="s">
        <v>200</v>
      </c>
      <c r="D220" s="39" t="str">
        <f>B220&amp;"|"&amp;C220</f>
        <v>Himachal Pradesh|Bilaspur</v>
      </c>
      <c r="E220" s="40">
        <v>31.33</v>
      </c>
      <c r="F220" s="40">
        <v>76.760000000000005</v>
      </c>
      <c r="G220" s="41">
        <v>0.42</v>
      </c>
      <c r="H220" s="41">
        <v>12.15</v>
      </c>
      <c r="I220" s="41">
        <v>28.163599999999999</v>
      </c>
      <c r="J220" s="41">
        <v>8.9399999999999993E-2</v>
      </c>
      <c r="K220" s="41">
        <v>6.7000000000000002E-3</v>
      </c>
      <c r="L220" s="41">
        <v>8.0000000000000004E-4</v>
      </c>
      <c r="M220" s="41">
        <v>0</v>
      </c>
      <c r="N220" s="41">
        <v>0</v>
      </c>
      <c r="O220" s="42">
        <f>SUM(G220:N220)</f>
        <v>40.830499999999994</v>
      </c>
      <c r="P220" s="42">
        <f>SUMPRODUCT(G220:N220,$G$2:$N$2)*1000/Assumptions!$C$15</f>
        <v>12.921295792375366</v>
      </c>
      <c r="Q220" s="43">
        <f>IF(ISNUMBER(Finder!$G$5),Finder!$D$8*Assumptions!$C$16*2*ASIN(SQRT(SIN(RADIANS(E220-Finder!$G$5)/2)^2+COS(RADIANS(Finder!$G$5))*COS(RADIANS(E220))*SIN(RADIANS(F220-Finder!$G$6)/2)^2)),"")</f>
        <v>262.18114674432752</v>
      </c>
      <c r="R220" s="39">
        <f>IF(ISNUMBER(Q220),IF(Q220&lt;=Finder!$D$7,1,0),0)</f>
        <v>0</v>
      </c>
      <c r="S220" s="39" t="str">
        <f>IF(R220=1,O220+ROW()*0.000000001,"")</f>
        <v/>
      </c>
      <c r="T220" s="39" t="str">
        <f>IF(O220&gt;0,INDEX(Calc!$B$4:$B$11,MATCH(MAX(G220:N220),G220:N220,0)),"-")</f>
        <v>Maize Stover</v>
      </c>
    </row>
    <row r="221" spans="1:20">
      <c r="A221" s="39">
        <v>218</v>
      </c>
      <c r="B221" s="39" t="s">
        <v>285</v>
      </c>
      <c r="C221" s="39" t="s">
        <v>286</v>
      </c>
      <c r="D221" s="39" t="str">
        <f>B221&amp;"|"&amp;C221</f>
        <v>Himachal Pradesh|Chamba</v>
      </c>
      <c r="E221" s="40">
        <v>32.549999999999997</v>
      </c>
      <c r="F221" s="40">
        <v>76.13</v>
      </c>
      <c r="G221" s="41">
        <v>0.84</v>
      </c>
      <c r="H221" s="41">
        <v>8.5500000000000007</v>
      </c>
      <c r="I221" s="41">
        <v>50.867199999999997</v>
      </c>
      <c r="J221" s="41">
        <v>1.3022</v>
      </c>
      <c r="K221" s="41">
        <v>0</v>
      </c>
      <c r="L221" s="41">
        <v>0</v>
      </c>
      <c r="M221" s="41">
        <v>0</v>
      </c>
      <c r="N221" s="41">
        <v>0</v>
      </c>
      <c r="O221" s="42">
        <f>SUM(G221:N221)</f>
        <v>61.559399999999997</v>
      </c>
      <c r="P221" s="42">
        <f>SUMPRODUCT(G221:N221,$G$2:$N$2)*1000/Assumptions!$C$15</f>
        <v>18.789233373607036</v>
      </c>
      <c r="Q221" s="43">
        <f>IF(ISNUMBER(Finder!$G$5),Finder!$D$8*Assumptions!$C$16*2*ASIN(SQRT(SIN(RADIANS(E221-Finder!$G$5)/2)^2+COS(RADIANS(Finder!$G$5))*COS(RADIANS(E221))*SIN(RADIANS(F221-Finder!$G$6)/2)^2)),"")</f>
        <v>380.08211396883189</v>
      </c>
      <c r="R221" s="39">
        <f>IF(ISNUMBER(Q221),IF(Q221&lt;=Finder!$D$7,1,0),0)</f>
        <v>0</v>
      </c>
      <c r="S221" s="39" t="str">
        <f>IF(R221=1,O221+ROW()*0.000000001,"")</f>
        <v/>
      </c>
      <c r="T221" s="39" t="str">
        <f>IF(O221&gt;0,INDEX(Calc!$B$4:$B$11,MATCH(MAX(G221:N221),G221:N221,0)),"-")</f>
        <v>Maize Stover</v>
      </c>
    </row>
    <row r="222" spans="1:20">
      <c r="A222" s="39">
        <v>219</v>
      </c>
      <c r="B222" s="39" t="s">
        <v>285</v>
      </c>
      <c r="C222" s="39" t="s">
        <v>287</v>
      </c>
      <c r="D222" s="39" t="str">
        <f>B222&amp;"|"&amp;C222</f>
        <v>Himachal Pradesh|Hamirpur</v>
      </c>
      <c r="E222" s="40">
        <v>31.68</v>
      </c>
      <c r="F222" s="40">
        <v>76.52</v>
      </c>
      <c r="G222" s="41">
        <v>8.4</v>
      </c>
      <c r="H222" s="41">
        <v>61.2</v>
      </c>
      <c r="I222" s="41">
        <v>29.999500000000001</v>
      </c>
      <c r="J222" s="41">
        <v>1.84E-2</v>
      </c>
      <c r="K222" s="41">
        <v>8.5000000000000006E-3</v>
      </c>
      <c r="L222" s="41">
        <v>1E-3</v>
      </c>
      <c r="M222" s="41">
        <v>0</v>
      </c>
      <c r="N222" s="41">
        <v>0</v>
      </c>
      <c r="O222" s="42">
        <f>SUM(G222:N222)</f>
        <v>99.627400000000009</v>
      </c>
      <c r="P222" s="42">
        <f>SUMPRODUCT(G222:N222,$G$2:$N$2)*1000/Assumptions!$C$15</f>
        <v>34.345672854545455</v>
      </c>
      <c r="Q222" s="43">
        <f>IF(ISNUMBER(Finder!$G$5),Finder!$D$8*Assumptions!$C$16*2*ASIN(SQRT(SIN(RADIANS(E222-Finder!$G$5)/2)^2+COS(RADIANS(Finder!$G$5))*COS(RADIANS(E222))*SIN(RADIANS(F222-Finder!$G$6)/2)^2)),"")</f>
        <v>291.59180373555932</v>
      </c>
      <c r="R222" s="39">
        <f>IF(ISNUMBER(Q222),IF(Q222&lt;=Finder!$D$7,1,0),0)</f>
        <v>0</v>
      </c>
      <c r="S222" s="39" t="str">
        <f>IF(R222=1,O222+ROW()*0.000000001,"")</f>
        <v/>
      </c>
      <c r="T222" s="39" t="str">
        <f>IF(O222&gt;0,INDEX(Calc!$B$4:$B$11,MATCH(MAX(G222:N222),G222:N222,0)),"-")</f>
        <v>Wheat Straw</v>
      </c>
    </row>
    <row r="223" spans="1:20">
      <c r="A223" s="39">
        <v>220</v>
      </c>
      <c r="B223" s="39" t="s">
        <v>285</v>
      </c>
      <c r="C223" s="39" t="s">
        <v>288</v>
      </c>
      <c r="D223" s="39" t="str">
        <f>B223&amp;"|"&amp;C223</f>
        <v>Himachal Pradesh|Kangra</v>
      </c>
      <c r="E223" s="40">
        <v>32.22</v>
      </c>
      <c r="F223" s="40">
        <v>76.319999999999993</v>
      </c>
      <c r="G223" s="41">
        <v>13.86</v>
      </c>
      <c r="H223" s="41">
        <v>35.1</v>
      </c>
      <c r="I223" s="41">
        <v>49.283900000000003</v>
      </c>
      <c r="J223" s="41">
        <v>0.78949999999999998</v>
      </c>
      <c r="K223" s="41">
        <v>1.7744</v>
      </c>
      <c r="L223" s="41">
        <v>0.20699999999999999</v>
      </c>
      <c r="M223" s="41">
        <v>7.0000000000000001E-3</v>
      </c>
      <c r="N223" s="41">
        <v>0</v>
      </c>
      <c r="O223" s="42">
        <f>SUM(G223:N223)</f>
        <v>101.0218</v>
      </c>
      <c r="P223" s="42">
        <f>SUMPRODUCT(G223:N223,$G$2:$N$2)*1000/Assumptions!$C$15</f>
        <v>33.258785304985338</v>
      </c>
      <c r="Q223" s="43">
        <f>IF(ISNUMBER(Finder!$G$5),Finder!$D$8*Assumptions!$C$16*2*ASIN(SQRT(SIN(RADIANS(E223-Finder!$G$5)/2)^2+COS(RADIANS(Finder!$G$5))*COS(RADIANS(E223))*SIN(RADIANS(F223-Finder!$G$6)/2)^2)),"")</f>
        <v>346.15421132450473</v>
      </c>
      <c r="R223" s="39">
        <f>IF(ISNUMBER(Q223),IF(Q223&lt;=Finder!$D$7,1,0),0)</f>
        <v>0</v>
      </c>
      <c r="S223" s="39" t="str">
        <f>IF(R223=1,O223+ROW()*0.000000001,"")</f>
        <v/>
      </c>
      <c r="T223" s="39" t="str">
        <f>IF(O223&gt;0,INDEX(Calc!$B$4:$B$11,MATCH(MAX(G223:N223),G223:N223,0)),"-")</f>
        <v>Maize Stover</v>
      </c>
    </row>
    <row r="224" spans="1:20">
      <c r="A224" s="39">
        <v>221</v>
      </c>
      <c r="B224" s="39" t="s">
        <v>285</v>
      </c>
      <c r="C224" s="39" t="s">
        <v>289</v>
      </c>
      <c r="D224" s="39" t="str">
        <f>B224&amp;"|"&amp;C224</f>
        <v>Himachal Pradesh|Kinnaur</v>
      </c>
      <c r="E224" s="40">
        <v>31.54</v>
      </c>
      <c r="F224" s="40">
        <v>78.27</v>
      </c>
      <c r="G224" s="41">
        <v>0</v>
      </c>
      <c r="H224" s="41">
        <v>0</v>
      </c>
      <c r="I224" s="41">
        <v>0.11550000000000001</v>
      </c>
      <c r="J224" s="41">
        <v>1.1999999999999999E-3</v>
      </c>
      <c r="K224" s="41">
        <v>0</v>
      </c>
      <c r="L224" s="41">
        <v>0</v>
      </c>
      <c r="M224" s="41">
        <v>0</v>
      </c>
      <c r="N224" s="41">
        <v>0</v>
      </c>
      <c r="O224" s="42">
        <f>SUM(G224:N224)</f>
        <v>0.11670000000000001</v>
      </c>
      <c r="P224" s="42">
        <f>SUMPRODUCT(G224:N224,$G$2:$N$2)*1000/Assumptions!$C$15</f>
        <v>3.4331018181818183E-2</v>
      </c>
      <c r="Q224" s="43">
        <f>IF(ISNUMBER(Finder!$G$5),Finder!$D$8*Assumptions!$C$16*2*ASIN(SQRT(SIN(RADIANS(E224-Finder!$G$5)/2)^2+COS(RADIANS(Finder!$G$5))*COS(RADIANS(E224))*SIN(RADIANS(F224-Finder!$G$6)/2)^2)),"")</f>
        <v>361.22645545258456</v>
      </c>
      <c r="R224" s="39">
        <f>IF(ISNUMBER(Q224),IF(Q224&lt;=Finder!$D$7,1,0),0)</f>
        <v>0</v>
      </c>
      <c r="S224" s="39" t="str">
        <f>IF(R224=1,O224+ROW()*0.000000001,"")</f>
        <v/>
      </c>
      <c r="T224" s="39" t="str">
        <f>IF(O224&gt;0,INDEX(Calc!$B$4:$B$11,MATCH(MAX(G224:N224),G224:N224,0)),"-")</f>
        <v>Maize Stover</v>
      </c>
    </row>
    <row r="225" spans="1:20">
      <c r="A225" s="39">
        <v>222</v>
      </c>
      <c r="B225" s="39" t="s">
        <v>285</v>
      </c>
      <c r="C225" s="39" t="s">
        <v>290</v>
      </c>
      <c r="D225" s="39" t="str">
        <f>B225&amp;"|"&amp;C225</f>
        <v>Himachal Pradesh|Kullu</v>
      </c>
      <c r="E225" s="40">
        <v>31.96</v>
      </c>
      <c r="F225" s="40">
        <v>77.11</v>
      </c>
      <c r="G225" s="41">
        <v>0</v>
      </c>
      <c r="H225" s="41">
        <v>4.05</v>
      </c>
      <c r="I225" s="41">
        <v>17.926600000000001</v>
      </c>
      <c r="J225" s="41">
        <v>5.21E-2</v>
      </c>
      <c r="K225" s="41">
        <v>0</v>
      </c>
      <c r="L225" s="41">
        <v>0</v>
      </c>
      <c r="M225" s="41">
        <v>8.9999999999999998E-4</v>
      </c>
      <c r="N225" s="41">
        <v>0</v>
      </c>
      <c r="O225" s="42">
        <f>SUM(G225:N225)</f>
        <v>22.029600000000002</v>
      </c>
      <c r="P225" s="42">
        <f>SUMPRODUCT(G225:N225,$G$2:$N$2)*1000/Assumptions!$C$15</f>
        <v>6.7738355859237549</v>
      </c>
      <c r="Q225" s="43">
        <f>IF(ISNUMBER(Finder!$G$5),Finder!$D$8*Assumptions!$C$16*2*ASIN(SQRT(SIN(RADIANS(E225-Finder!$G$5)/2)^2+COS(RADIANS(Finder!$G$5))*COS(RADIANS(E225))*SIN(RADIANS(F225-Finder!$G$6)/2)^2)),"")</f>
        <v>339.61398440865571</v>
      </c>
      <c r="R225" s="39">
        <f>IF(ISNUMBER(Q225),IF(Q225&lt;=Finder!$D$7,1,0),0)</f>
        <v>0</v>
      </c>
      <c r="S225" s="39" t="str">
        <f>IF(R225=1,O225+ROW()*0.000000001,"")</f>
        <v/>
      </c>
      <c r="T225" s="39" t="str">
        <f>IF(O225&gt;0,INDEX(Calc!$B$4:$B$11,MATCH(MAX(G225:N225),G225:N225,0)),"-")</f>
        <v>Maize Stover</v>
      </c>
    </row>
    <row r="226" spans="1:20">
      <c r="A226" s="39">
        <v>223</v>
      </c>
      <c r="B226" s="39" t="s">
        <v>285</v>
      </c>
      <c r="C226" s="39" t="s">
        <v>291</v>
      </c>
      <c r="D226" s="39" t="str">
        <f>B226&amp;"|"&amp;C226</f>
        <v>Himachal Pradesh|Lahaul And Spiti</v>
      </c>
      <c r="E226" s="40">
        <v>32.57</v>
      </c>
      <c r="F226" s="40">
        <v>77.03</v>
      </c>
      <c r="G226" s="41">
        <v>0</v>
      </c>
      <c r="H226" s="41">
        <v>0</v>
      </c>
      <c r="I226" s="41">
        <v>2.1999999999999999E-2</v>
      </c>
      <c r="J226" s="41">
        <v>0</v>
      </c>
      <c r="K226" s="41">
        <v>0</v>
      </c>
      <c r="L226" s="41">
        <v>0</v>
      </c>
      <c r="M226" s="41">
        <v>0</v>
      </c>
      <c r="N226" s="41">
        <v>0</v>
      </c>
      <c r="O226" s="42">
        <f>SUM(G226:N226)</f>
        <v>2.1999999999999999E-2</v>
      </c>
      <c r="P226" s="42">
        <f>SUMPRODUCT(G226:N226,$G$2:$N$2)*1000/Assumptions!$C$15</f>
        <v>6.4719999999999995E-3</v>
      </c>
      <c r="Q226" s="43">
        <f>IF(ISNUMBER(Finder!$G$5),Finder!$D$8*Assumptions!$C$16*2*ASIN(SQRT(SIN(RADIANS(E226-Finder!$G$5)/2)^2+COS(RADIANS(Finder!$G$5))*COS(RADIANS(E226))*SIN(RADIANS(F226-Finder!$G$6)/2)^2)),"")</f>
        <v>400.30459842549027</v>
      </c>
      <c r="R226" s="39">
        <f>IF(ISNUMBER(Q226),IF(Q226&lt;=Finder!$D$7,1,0),0)</f>
        <v>0</v>
      </c>
      <c r="S226" s="39" t="str">
        <f>IF(R226=1,O226+ROW()*0.000000001,"")</f>
        <v/>
      </c>
      <c r="T226" s="39" t="str">
        <f>IF(O226&gt;0,INDEX(Calc!$B$4:$B$11,MATCH(MAX(G226:N226),G226:N226,0)),"-")</f>
        <v>Maize Stover</v>
      </c>
    </row>
    <row r="227" spans="1:20">
      <c r="A227" s="39">
        <v>224</v>
      </c>
      <c r="B227" s="39" t="s">
        <v>285</v>
      </c>
      <c r="C227" s="39" t="s">
        <v>292</v>
      </c>
      <c r="D227" s="39" t="str">
        <f>B227&amp;"|"&amp;C227</f>
        <v>Himachal Pradesh|Mandi</v>
      </c>
      <c r="E227" s="40">
        <v>31.71</v>
      </c>
      <c r="F227" s="40">
        <v>76.930000000000007</v>
      </c>
      <c r="G227" s="41">
        <v>7.56</v>
      </c>
      <c r="H227" s="41">
        <v>25.2</v>
      </c>
      <c r="I227" s="41">
        <v>71.803200000000004</v>
      </c>
      <c r="J227" s="41">
        <v>6.3100000000000003E-2</v>
      </c>
      <c r="K227" s="41">
        <v>0</v>
      </c>
      <c r="L227" s="41">
        <v>0</v>
      </c>
      <c r="M227" s="41">
        <v>0.2266</v>
      </c>
      <c r="N227" s="41">
        <v>0</v>
      </c>
      <c r="O227" s="42">
        <f>SUM(G227:N227)</f>
        <v>104.85290000000001</v>
      </c>
      <c r="P227" s="42">
        <f>SUMPRODUCT(G227:N227,$G$2:$N$2)*1000/Assumptions!$C$15</f>
        <v>33.221633856891501</v>
      </c>
      <c r="Q227" s="43">
        <f>IF(ISNUMBER(Finder!$G$5),Finder!$D$8*Assumptions!$C$16*2*ASIN(SQRT(SIN(RADIANS(E227-Finder!$G$5)/2)^2+COS(RADIANS(Finder!$G$5))*COS(RADIANS(E227))*SIN(RADIANS(F227-Finder!$G$6)/2)^2)),"")</f>
        <v>307.38387582010483</v>
      </c>
      <c r="R227" s="39">
        <f>IF(ISNUMBER(Q227),IF(Q227&lt;=Finder!$D$7,1,0),0)</f>
        <v>0</v>
      </c>
      <c r="S227" s="39" t="str">
        <f>IF(R227=1,O227+ROW()*0.000000001,"")</f>
        <v/>
      </c>
      <c r="T227" s="39" t="str">
        <f>IF(O227&gt;0,INDEX(Calc!$B$4:$B$11,MATCH(MAX(G227:N227),G227:N227,0)),"-")</f>
        <v>Maize Stover</v>
      </c>
    </row>
    <row r="228" spans="1:20">
      <c r="A228" s="39">
        <v>225</v>
      </c>
      <c r="B228" s="39" t="s">
        <v>285</v>
      </c>
      <c r="C228" s="39" t="s">
        <v>293</v>
      </c>
      <c r="D228" s="39" t="str">
        <f>B228&amp;"|"&amp;C228</f>
        <v>Himachal Pradesh|Shimla</v>
      </c>
      <c r="E228" s="40">
        <v>31.1</v>
      </c>
      <c r="F228" s="40">
        <v>77.17</v>
      </c>
      <c r="G228" s="41">
        <v>0</v>
      </c>
      <c r="H228" s="41">
        <v>2.25</v>
      </c>
      <c r="I228" s="41">
        <v>8.548</v>
      </c>
      <c r="J228" s="41">
        <v>0.17699999999999999</v>
      </c>
      <c r="K228" s="41">
        <v>0</v>
      </c>
      <c r="L228" s="41">
        <v>0</v>
      </c>
      <c r="M228" s="41">
        <v>1.8E-3</v>
      </c>
      <c r="N228" s="41">
        <v>0</v>
      </c>
      <c r="O228" s="42">
        <f>SUM(G228:N228)</f>
        <v>10.976799999999999</v>
      </c>
      <c r="P228" s="42">
        <f>SUMPRODUCT(G228:N228,$G$2:$N$2)*1000/Assumptions!$C$15</f>
        <v>3.3920518510263928</v>
      </c>
      <c r="Q228" s="43">
        <f>IF(ISNUMBER(Finder!$G$5),Finder!$D$8*Assumptions!$C$16*2*ASIN(SQRT(SIN(RADIANS(E228-Finder!$G$5)/2)^2+COS(RADIANS(Finder!$G$5))*COS(RADIANS(E228))*SIN(RADIANS(F228-Finder!$G$6)/2)^2)),"")</f>
        <v>257.79654062834186</v>
      </c>
      <c r="R228" s="39">
        <f>IF(ISNUMBER(Q228),IF(Q228&lt;=Finder!$D$7,1,0),0)</f>
        <v>0</v>
      </c>
      <c r="S228" s="39" t="str">
        <f>IF(R228=1,O228+ROW()*0.000000001,"")</f>
        <v/>
      </c>
      <c r="T228" s="39" t="str">
        <f>IF(O228&gt;0,INDEX(Calc!$B$4:$B$11,MATCH(MAX(G228:N228),G228:N228,0)),"-")</f>
        <v>Maize Stover</v>
      </c>
    </row>
    <row r="229" spans="1:20">
      <c r="A229" s="39">
        <v>226</v>
      </c>
      <c r="B229" s="39" t="s">
        <v>285</v>
      </c>
      <c r="C229" s="39" t="s">
        <v>294</v>
      </c>
      <c r="D229" s="39" t="str">
        <f>B229&amp;"|"&amp;C229</f>
        <v>Himachal Pradesh|Sirmaur</v>
      </c>
      <c r="E229" s="40">
        <v>30.56</v>
      </c>
      <c r="F229" s="40">
        <v>77.3</v>
      </c>
      <c r="G229" s="41">
        <v>2.52</v>
      </c>
      <c r="H229" s="41">
        <v>9.9</v>
      </c>
      <c r="I229" s="41">
        <v>31.758299999999998</v>
      </c>
      <c r="J229" s="41">
        <v>0.42380000000000001</v>
      </c>
      <c r="K229" s="41">
        <v>1.8294999999999999</v>
      </c>
      <c r="L229" s="41">
        <v>0.21340000000000001</v>
      </c>
      <c r="M229" s="41">
        <v>4.1099999999999998E-2</v>
      </c>
      <c r="N229" s="41">
        <v>0</v>
      </c>
      <c r="O229" s="42">
        <f>SUM(G229:N229)</f>
        <v>46.686100000000003</v>
      </c>
      <c r="P229" s="42">
        <f>SUMPRODUCT(G229:N229,$G$2:$N$2)*1000/Assumptions!$C$15</f>
        <v>14.630354651612903</v>
      </c>
      <c r="Q229" s="43">
        <f>IF(ISNUMBER(Finder!$G$5),Finder!$D$8*Assumptions!$C$16*2*ASIN(SQRT(SIN(RADIANS(E229-Finder!$G$5)/2)^2+COS(RADIANS(Finder!$G$5))*COS(RADIANS(E229))*SIN(RADIANS(F229-Finder!$G$6)/2)^2)),"")</f>
        <v>218.62306393746013</v>
      </c>
      <c r="R229" s="39">
        <f>IF(ISNUMBER(Q229),IF(Q229&lt;=Finder!$D$7,1,0),0)</f>
        <v>0</v>
      </c>
      <c r="S229" s="39" t="str">
        <f>IF(R229=1,O229+ROW()*0.000000001,"")</f>
        <v/>
      </c>
      <c r="T229" s="39" t="str">
        <f>IF(O229&gt;0,INDEX(Calc!$B$4:$B$11,MATCH(MAX(G229:N229),G229:N229,0)),"-")</f>
        <v>Maize Stover</v>
      </c>
    </row>
    <row r="230" spans="1:20">
      <c r="A230" s="39">
        <v>227</v>
      </c>
      <c r="B230" s="39" t="s">
        <v>285</v>
      </c>
      <c r="C230" s="39" t="s">
        <v>295</v>
      </c>
      <c r="D230" s="39" t="str">
        <f>B230&amp;"|"&amp;C230</f>
        <v>Himachal Pradesh|Solan</v>
      </c>
      <c r="E230" s="40">
        <v>30.9</v>
      </c>
      <c r="F230" s="40">
        <v>77.099999999999994</v>
      </c>
      <c r="G230" s="41">
        <v>2.1</v>
      </c>
      <c r="H230" s="41">
        <v>10.35</v>
      </c>
      <c r="I230" s="41">
        <v>31.436499999999999</v>
      </c>
      <c r="J230" s="41">
        <v>0.36320000000000002</v>
      </c>
      <c r="K230" s="41">
        <v>2.8400000000000002E-2</v>
      </c>
      <c r="L230" s="41">
        <v>3.3E-3</v>
      </c>
      <c r="M230" s="41">
        <v>2.1000000000000001E-2</v>
      </c>
      <c r="N230" s="41">
        <v>0</v>
      </c>
      <c r="O230" s="42">
        <f>SUM(G230:N230)</f>
        <v>44.302399999999999</v>
      </c>
      <c r="P230" s="42">
        <f>SUMPRODUCT(G230:N230,$G$2:$N$2)*1000/Assumptions!$C$15</f>
        <v>13.934397462463341</v>
      </c>
      <c r="Q230" s="43">
        <f>IF(ISNUMBER(Finder!$G$5),Finder!$D$8*Assumptions!$C$16*2*ASIN(SQRT(SIN(RADIANS(E230-Finder!$G$5)/2)^2+COS(RADIANS(Finder!$G$5))*COS(RADIANS(E230))*SIN(RADIANS(F230-Finder!$G$6)/2)^2)),"")</f>
        <v>235.61364589550448</v>
      </c>
      <c r="R230" s="39">
        <f>IF(ISNUMBER(Q230),IF(Q230&lt;=Finder!$D$7,1,0),0)</f>
        <v>0</v>
      </c>
      <c r="S230" s="39" t="str">
        <f>IF(R230=1,O230+ROW()*0.000000001,"")</f>
        <v/>
      </c>
      <c r="T230" s="39" t="str">
        <f>IF(O230&gt;0,INDEX(Calc!$B$4:$B$11,MATCH(MAX(G230:N230),G230:N230,0)),"-")</f>
        <v>Maize Stover</v>
      </c>
    </row>
    <row r="231" spans="1:20">
      <c r="A231" s="39">
        <v>228</v>
      </c>
      <c r="B231" s="39" t="s">
        <v>285</v>
      </c>
      <c r="C231" s="39" t="s">
        <v>296</v>
      </c>
      <c r="D231" s="39" t="str">
        <f>B231&amp;"|"&amp;C231</f>
        <v>Himachal Pradesh|Una</v>
      </c>
      <c r="E231" s="40">
        <v>31.47</v>
      </c>
      <c r="F231" s="40">
        <v>76.27</v>
      </c>
      <c r="G231" s="41">
        <v>0.84</v>
      </c>
      <c r="H231" s="41">
        <v>15.75</v>
      </c>
      <c r="I231" s="41">
        <v>51.993400000000001</v>
      </c>
      <c r="J231" s="41">
        <v>1.1588000000000001</v>
      </c>
      <c r="K231" s="41">
        <v>0.30220000000000002</v>
      </c>
      <c r="L231" s="41">
        <v>3.5299999999999998E-2</v>
      </c>
      <c r="M231" s="41">
        <v>0</v>
      </c>
      <c r="N231" s="41">
        <v>0</v>
      </c>
      <c r="O231" s="42">
        <f>SUM(G231:N231)</f>
        <v>70.079700000000003</v>
      </c>
      <c r="P231" s="42">
        <f>SUMPRODUCT(G231:N231,$G$2:$N$2)*1000/Assumptions!$C$15</f>
        <v>21.816228644868037</v>
      </c>
      <c r="Q231" s="43">
        <f>IF(ISNUMBER(Finder!$G$5),Finder!$D$8*Assumptions!$C$16*2*ASIN(SQRT(SIN(RADIANS(E231-Finder!$G$5)/2)^2+COS(RADIANS(Finder!$G$5))*COS(RADIANS(E231))*SIN(RADIANS(F231-Finder!$G$6)/2)^2)),"")</f>
        <v>263.31818780342246</v>
      </c>
      <c r="R231" s="39">
        <f>IF(ISNUMBER(Q231),IF(Q231&lt;=Finder!$D$7,1,0),0)</f>
        <v>0</v>
      </c>
      <c r="S231" s="39" t="str">
        <f>IF(R231=1,O231+ROW()*0.000000001,"")</f>
        <v/>
      </c>
      <c r="T231" s="39" t="str">
        <f>IF(O231&gt;0,INDEX(Calc!$B$4:$B$11,MATCH(MAX(G231:N231),G231:N231,0)),"-")</f>
        <v>Maize Stover</v>
      </c>
    </row>
    <row r="232" spans="1:20">
      <c r="A232" s="39">
        <v>229</v>
      </c>
      <c r="B232" s="39" t="s">
        <v>297</v>
      </c>
      <c r="C232" s="39" t="s">
        <v>298</v>
      </c>
      <c r="D232" s="39" t="str">
        <f>B232&amp;"|"&amp;C232</f>
        <v>Jammu And Kashmir|Anantnag</v>
      </c>
      <c r="E232" s="40">
        <v>33.729999999999997</v>
      </c>
      <c r="F232" s="40">
        <v>75.150000000000006</v>
      </c>
      <c r="G232" s="41">
        <v>9.24</v>
      </c>
      <c r="H232" s="41">
        <v>0</v>
      </c>
      <c r="I232" s="41">
        <v>0</v>
      </c>
      <c r="J232" s="41">
        <v>7.0185000000000004</v>
      </c>
      <c r="K232" s="41">
        <v>0</v>
      </c>
      <c r="L232" s="41">
        <v>0</v>
      </c>
      <c r="M232" s="41">
        <v>0</v>
      </c>
      <c r="N232" s="41">
        <v>0</v>
      </c>
      <c r="O232" s="42">
        <f>SUM(G232:N232)</f>
        <v>16.258500000000002</v>
      </c>
      <c r="P232" s="42">
        <f>SUMPRODUCT(G232:N232,$G$2:$N$2)*1000/Assumptions!$C$15</f>
        <v>5.4516763812316711</v>
      </c>
      <c r="Q232" s="43">
        <f>IF(ISNUMBER(Finder!$G$5),Finder!$D$8*Assumptions!$C$16*2*ASIN(SQRT(SIN(RADIANS(E232-Finder!$G$5)/2)^2+COS(RADIANS(Finder!$G$5))*COS(RADIANS(E232))*SIN(RADIANS(F232-Finder!$G$6)/2)^2)),"")</f>
        <v>512.13244725426603</v>
      </c>
      <c r="R232" s="39">
        <f>IF(ISNUMBER(Q232),IF(Q232&lt;=Finder!$D$7,1,0),0)</f>
        <v>0</v>
      </c>
      <c r="S232" s="39" t="str">
        <f>IF(R232=1,O232+ROW()*0.000000001,"")</f>
        <v/>
      </c>
      <c r="T232" s="39" t="str">
        <f>IF(O232&gt;0,INDEX(Calc!$B$4:$B$11,MATCH(MAX(G232:N232),G232:N232,0)),"-")</f>
        <v>Paddy Straw</v>
      </c>
    </row>
    <row r="233" spans="1:20">
      <c r="A233" s="39">
        <v>230</v>
      </c>
      <c r="B233" s="39" t="s">
        <v>297</v>
      </c>
      <c r="C233" s="39" t="s">
        <v>299</v>
      </c>
      <c r="D233" s="39" t="str">
        <f>B233&amp;"|"&amp;C233</f>
        <v>Jammu And Kashmir|Bandipora</v>
      </c>
      <c r="E233" s="40">
        <v>34.42</v>
      </c>
      <c r="F233" s="40">
        <v>74.64</v>
      </c>
      <c r="G233" s="41">
        <v>5.46</v>
      </c>
      <c r="H233" s="41">
        <v>0</v>
      </c>
      <c r="I233" s="41">
        <v>0</v>
      </c>
      <c r="J233" s="41">
        <v>0.9627</v>
      </c>
      <c r="K233" s="41">
        <v>0</v>
      </c>
      <c r="L233" s="41">
        <v>0</v>
      </c>
      <c r="M233" s="41">
        <v>0</v>
      </c>
      <c r="N233" s="41">
        <v>0</v>
      </c>
      <c r="O233" s="42">
        <f>SUM(G233:N233)</f>
        <v>6.4226999999999999</v>
      </c>
      <c r="P233" s="42">
        <f>SUMPRODUCT(G233:N233,$G$2:$N$2)*1000/Assumptions!$C$15</f>
        <v>2.284595053372434</v>
      </c>
      <c r="Q233" s="43">
        <f>IF(ISNUMBER(Finder!$G$5),Finder!$D$8*Assumptions!$C$16*2*ASIN(SQRT(SIN(RADIANS(E233-Finder!$G$5)/2)^2+COS(RADIANS(Finder!$G$5))*COS(RADIANS(E233))*SIN(RADIANS(F233-Finder!$G$6)/2)^2)),"")</f>
        <v>594.8086613905059</v>
      </c>
      <c r="R233" s="39">
        <f>IF(ISNUMBER(Q233),IF(Q233&lt;=Finder!$D$7,1,0),0)</f>
        <v>0</v>
      </c>
      <c r="S233" s="39" t="str">
        <f>IF(R233=1,O233+ROW()*0.000000001,"")</f>
        <v/>
      </c>
      <c r="T233" s="39" t="str">
        <f>IF(O233&gt;0,INDEX(Calc!$B$4:$B$11,MATCH(MAX(G233:N233),G233:N233,0)),"-")</f>
        <v>Paddy Straw</v>
      </c>
    </row>
    <row r="234" spans="1:20">
      <c r="A234" s="39">
        <v>231</v>
      </c>
      <c r="B234" s="39" t="s">
        <v>297</v>
      </c>
      <c r="C234" s="39" t="s">
        <v>300</v>
      </c>
      <c r="D234" s="39" t="str">
        <f>B234&amp;"|"&amp;C234</f>
        <v>Jammu And Kashmir|Baramulla</v>
      </c>
      <c r="E234" s="40">
        <v>34.200000000000003</v>
      </c>
      <c r="F234" s="40">
        <v>74.34</v>
      </c>
      <c r="G234" s="41">
        <v>8.82</v>
      </c>
      <c r="H234" s="41">
        <v>0</v>
      </c>
      <c r="I234" s="41">
        <v>0</v>
      </c>
      <c r="J234" s="41">
        <v>6.9400000000000003E-2</v>
      </c>
      <c r="K234" s="41">
        <v>0</v>
      </c>
      <c r="L234" s="41">
        <v>0</v>
      </c>
      <c r="M234" s="41">
        <v>0</v>
      </c>
      <c r="N234" s="41">
        <v>0</v>
      </c>
      <c r="O234" s="42">
        <f>SUM(G234:N234)</f>
        <v>8.8894000000000002</v>
      </c>
      <c r="P234" s="42">
        <f>SUMPRODUCT(G234:N234,$G$2:$N$2)*1000/Assumptions!$C$15</f>
        <v>3.253424722580645</v>
      </c>
      <c r="Q234" s="43">
        <f>IF(ISNUMBER(Finder!$G$5),Finder!$D$8*Assumptions!$C$16*2*ASIN(SQRT(SIN(RADIANS(E234-Finder!$G$5)/2)^2+COS(RADIANS(Finder!$G$5))*COS(RADIANS(E234))*SIN(RADIANS(F234-Finder!$G$6)/2)^2)),"")</f>
        <v>576.49896433763411</v>
      </c>
      <c r="R234" s="39">
        <f>IF(ISNUMBER(Q234),IF(Q234&lt;=Finder!$D$7,1,0),0)</f>
        <v>0</v>
      </c>
      <c r="S234" s="39" t="str">
        <f>IF(R234=1,O234+ROW()*0.000000001,"")</f>
        <v/>
      </c>
      <c r="T234" s="39" t="str">
        <f>IF(O234&gt;0,INDEX(Calc!$B$4:$B$11,MATCH(MAX(G234:N234),G234:N234,0)),"-")</f>
        <v>Paddy Straw</v>
      </c>
    </row>
    <row r="235" spans="1:20">
      <c r="A235" s="39">
        <v>232</v>
      </c>
      <c r="B235" s="39" t="s">
        <v>297</v>
      </c>
      <c r="C235" s="39" t="s">
        <v>301</v>
      </c>
      <c r="D235" s="39" t="str">
        <f>B235&amp;"|"&amp;C235</f>
        <v>Jammu And Kashmir|Budgam</v>
      </c>
      <c r="E235" s="40">
        <v>34.020000000000003</v>
      </c>
      <c r="F235" s="40">
        <v>74.72</v>
      </c>
      <c r="G235" s="41">
        <v>10.08</v>
      </c>
      <c r="H235" s="41">
        <v>0.45</v>
      </c>
      <c r="I235" s="41">
        <v>0</v>
      </c>
      <c r="J235" s="41">
        <v>3.3616000000000001</v>
      </c>
      <c r="K235" s="41">
        <v>0</v>
      </c>
      <c r="L235" s="41">
        <v>0</v>
      </c>
      <c r="M235" s="41">
        <v>0</v>
      </c>
      <c r="N235" s="41">
        <v>0</v>
      </c>
      <c r="O235" s="42">
        <f>SUM(G235:N235)</f>
        <v>13.8916</v>
      </c>
      <c r="P235" s="42">
        <f>SUMPRODUCT(G235:N235,$G$2:$N$2)*1000/Assumptions!$C$15</f>
        <v>4.8487378756598236</v>
      </c>
      <c r="Q235" s="43">
        <f>IF(ISNUMBER(Finder!$G$5),Finder!$D$8*Assumptions!$C$16*2*ASIN(SQRT(SIN(RADIANS(E235-Finder!$G$5)/2)^2+COS(RADIANS(Finder!$G$5))*COS(RADIANS(E235))*SIN(RADIANS(F235-Finder!$G$6)/2)^2)),"")</f>
        <v>549.73083365584284</v>
      </c>
      <c r="R235" s="39">
        <f>IF(ISNUMBER(Q235),IF(Q235&lt;=Finder!$D$7,1,0),0)</f>
        <v>0</v>
      </c>
      <c r="S235" s="39" t="str">
        <f>IF(R235=1,O235+ROW()*0.000000001,"")</f>
        <v/>
      </c>
      <c r="T235" s="39" t="str">
        <f>IF(O235&gt;0,INDEX(Calc!$B$4:$B$11,MATCH(MAX(G235:N235),G235:N235,0)),"-")</f>
        <v>Paddy Straw</v>
      </c>
    </row>
    <row r="236" spans="1:20">
      <c r="A236" s="39">
        <v>233</v>
      </c>
      <c r="B236" s="39" t="s">
        <v>297</v>
      </c>
      <c r="C236" s="39" t="s">
        <v>302</v>
      </c>
      <c r="D236" s="39" t="str">
        <f>B236&amp;"|"&amp;C236</f>
        <v>Jammu And Kashmir|Doda</v>
      </c>
      <c r="E236" s="40">
        <v>33.15</v>
      </c>
      <c r="F236" s="40">
        <v>75.55</v>
      </c>
      <c r="G236" s="41">
        <v>0.42</v>
      </c>
      <c r="H236" s="41">
        <v>1.8</v>
      </c>
      <c r="I236" s="41">
        <v>0</v>
      </c>
      <c r="J236" s="41">
        <v>0.62949999999999995</v>
      </c>
      <c r="K236" s="41">
        <v>0</v>
      </c>
      <c r="L236" s="41">
        <v>0</v>
      </c>
      <c r="M236" s="41">
        <v>0</v>
      </c>
      <c r="N236" s="41">
        <v>0</v>
      </c>
      <c r="O236" s="42">
        <f>SUM(G236:N236)</f>
        <v>2.8494999999999999</v>
      </c>
      <c r="P236" s="42">
        <f>SUMPRODUCT(G236:N236,$G$2:$N$2)*1000/Assumptions!$C$15</f>
        <v>0.9989378944281524</v>
      </c>
      <c r="Q236" s="43">
        <f>IF(ISNUMBER(Finder!$G$5),Finder!$D$8*Assumptions!$C$16*2*ASIN(SQRT(SIN(RADIANS(E236-Finder!$G$5)/2)^2+COS(RADIANS(Finder!$G$5))*COS(RADIANS(E236))*SIN(RADIANS(F236-Finder!$G$6)/2)^2)),"")</f>
        <v>445.073566348067</v>
      </c>
      <c r="R236" s="39">
        <f>IF(ISNUMBER(Q236),IF(Q236&lt;=Finder!$D$7,1,0),0)</f>
        <v>0</v>
      </c>
      <c r="S236" s="39" t="str">
        <f>IF(R236=1,O236+ROW()*0.000000001,"")</f>
        <v/>
      </c>
      <c r="T236" s="39" t="str">
        <f>IF(O236&gt;0,INDEX(Calc!$B$4:$B$11,MATCH(MAX(G236:N236),G236:N236,0)),"-")</f>
        <v>Wheat Straw</v>
      </c>
    </row>
    <row r="237" spans="1:20">
      <c r="A237" s="39">
        <v>234</v>
      </c>
      <c r="B237" s="39" t="s">
        <v>297</v>
      </c>
      <c r="C237" s="39" t="s">
        <v>303</v>
      </c>
      <c r="D237" s="39" t="str">
        <f>B237&amp;"|"&amp;C237</f>
        <v>Jammu And Kashmir|Ganderbal</v>
      </c>
      <c r="E237" s="40">
        <v>34.229999999999997</v>
      </c>
      <c r="F237" s="40">
        <v>74.78</v>
      </c>
      <c r="G237" s="41">
        <v>2.94</v>
      </c>
      <c r="H237" s="41">
        <v>0</v>
      </c>
      <c r="I237" s="41">
        <v>0</v>
      </c>
      <c r="J237" s="41">
        <v>0.98250000000000004</v>
      </c>
      <c r="K237" s="41">
        <v>0</v>
      </c>
      <c r="L237" s="41">
        <v>0</v>
      </c>
      <c r="M237" s="41">
        <v>0</v>
      </c>
      <c r="N237" s="41">
        <v>0</v>
      </c>
      <c r="O237" s="42">
        <f>SUM(G237:N237)</f>
        <v>3.9224999999999999</v>
      </c>
      <c r="P237" s="42">
        <f>SUMPRODUCT(G237:N237,$G$2:$N$2)*1000/Assumptions!$C$15</f>
        <v>1.3667031378299119</v>
      </c>
      <c r="Q237" s="43">
        <f>IF(ISNUMBER(Finder!$G$5),Finder!$D$8*Assumptions!$C$16*2*ASIN(SQRT(SIN(RADIANS(E237-Finder!$G$5)/2)^2+COS(RADIANS(Finder!$G$5))*COS(RADIANS(E237))*SIN(RADIANS(F237-Finder!$G$6)/2)^2)),"")</f>
        <v>571.81935834590013</v>
      </c>
      <c r="R237" s="39">
        <f>IF(ISNUMBER(Q237),IF(Q237&lt;=Finder!$D$7,1,0),0)</f>
        <v>0</v>
      </c>
      <c r="S237" s="39" t="str">
        <f>IF(R237=1,O237+ROW()*0.000000001,"")</f>
        <v/>
      </c>
      <c r="T237" s="39" t="str">
        <f>IF(O237&gt;0,INDEX(Calc!$B$4:$B$11,MATCH(MAX(G237:N237),G237:N237,0)),"-")</f>
        <v>Paddy Straw</v>
      </c>
    </row>
    <row r="238" spans="1:20">
      <c r="A238" s="39">
        <v>235</v>
      </c>
      <c r="B238" s="39" t="s">
        <v>297</v>
      </c>
      <c r="C238" s="39" t="s">
        <v>304</v>
      </c>
      <c r="D238" s="39" t="str">
        <f>B238&amp;"|"&amp;C238</f>
        <v>Jammu And Kashmir|Jammu</v>
      </c>
      <c r="E238" s="40">
        <v>32.729999999999997</v>
      </c>
      <c r="F238" s="40">
        <v>74.86</v>
      </c>
      <c r="G238" s="41">
        <v>22.68</v>
      </c>
      <c r="H238" s="41">
        <v>37.35</v>
      </c>
      <c r="I238" s="41">
        <v>0</v>
      </c>
      <c r="J238" s="41">
        <v>0.26889999999999997</v>
      </c>
      <c r="K238" s="41">
        <v>0</v>
      </c>
      <c r="L238" s="41">
        <v>0</v>
      </c>
      <c r="M238" s="41">
        <v>0</v>
      </c>
      <c r="N238" s="41">
        <v>0</v>
      </c>
      <c r="O238" s="42">
        <f>SUM(G238:N238)</f>
        <v>60.298900000000003</v>
      </c>
      <c r="P238" s="42">
        <f>SUMPRODUCT(G238:N238,$G$2:$N$2)*1000/Assumptions!$C$15</f>
        <v>22.083357250439882</v>
      </c>
      <c r="Q238" s="43">
        <f>IF(ISNUMBER(Finder!$G$5),Finder!$D$8*Assumptions!$C$16*2*ASIN(SQRT(SIN(RADIANS(E238-Finder!$G$5)/2)^2+COS(RADIANS(Finder!$G$5))*COS(RADIANS(E238))*SIN(RADIANS(F238-Finder!$G$6)/2)^2)),"")</f>
        <v>406.4341653179107</v>
      </c>
      <c r="R238" s="39">
        <f>IF(ISNUMBER(Q238),IF(Q238&lt;=Finder!$D$7,1,0),0)</f>
        <v>0</v>
      </c>
      <c r="S238" s="39" t="str">
        <f>IF(R238=1,O238+ROW()*0.000000001,"")</f>
        <v/>
      </c>
      <c r="T238" s="39" t="str">
        <f>IF(O238&gt;0,INDEX(Calc!$B$4:$B$11,MATCH(MAX(G238:N238),G238:N238,0)),"-")</f>
        <v>Wheat Straw</v>
      </c>
    </row>
    <row r="239" spans="1:20">
      <c r="A239" s="39">
        <v>236</v>
      </c>
      <c r="B239" s="39" t="s">
        <v>297</v>
      </c>
      <c r="C239" s="39" t="s">
        <v>305</v>
      </c>
      <c r="D239" s="39" t="str">
        <f>B239&amp;"|"&amp;C239</f>
        <v>Jammu And Kashmir|Kathua</v>
      </c>
      <c r="E239" s="40">
        <v>32.369999999999997</v>
      </c>
      <c r="F239" s="40">
        <v>75.52</v>
      </c>
      <c r="G239" s="41">
        <v>13.86</v>
      </c>
      <c r="H239" s="41">
        <v>21.15</v>
      </c>
      <c r="I239" s="41">
        <v>0</v>
      </c>
      <c r="J239" s="41">
        <v>1.0811999999999999</v>
      </c>
      <c r="K239" s="41">
        <v>0</v>
      </c>
      <c r="L239" s="41">
        <v>0</v>
      </c>
      <c r="M239" s="41">
        <v>0</v>
      </c>
      <c r="N239" s="41">
        <v>0</v>
      </c>
      <c r="O239" s="42">
        <f>SUM(G239:N239)</f>
        <v>36.091200000000001</v>
      </c>
      <c r="P239" s="42">
        <f>SUMPRODUCT(G239:N239,$G$2:$N$2)*1000/Assumptions!$C$15</f>
        <v>13.151133751319646</v>
      </c>
      <c r="Q239" s="43">
        <f>IF(ISNUMBER(Finder!$G$5),Finder!$D$8*Assumptions!$C$16*2*ASIN(SQRT(SIN(RADIANS(E239-Finder!$G$5)/2)^2+COS(RADIANS(Finder!$G$5))*COS(RADIANS(E239))*SIN(RADIANS(F239-Finder!$G$6)/2)^2)),"")</f>
        <v>358.55701960986312</v>
      </c>
      <c r="R239" s="39">
        <f>IF(ISNUMBER(Q239),IF(Q239&lt;=Finder!$D$7,1,0),0)</f>
        <v>0</v>
      </c>
      <c r="S239" s="39" t="str">
        <f>IF(R239=1,O239+ROW()*0.000000001,"")</f>
        <v/>
      </c>
      <c r="T239" s="39" t="str">
        <f>IF(O239&gt;0,INDEX(Calc!$B$4:$B$11,MATCH(MAX(G239:N239),G239:N239,0)),"-")</f>
        <v>Wheat Straw</v>
      </c>
    </row>
    <row r="240" spans="1:20">
      <c r="A240" s="39">
        <v>237</v>
      </c>
      <c r="B240" s="39" t="s">
        <v>297</v>
      </c>
      <c r="C240" s="39" t="s">
        <v>306</v>
      </c>
      <c r="D240" s="39" t="str">
        <f>B240&amp;"|"&amp;C240</f>
        <v>Jammu And Kashmir|Kishtwar</v>
      </c>
      <c r="E240" s="40">
        <v>33.31</v>
      </c>
      <c r="F240" s="40">
        <v>75.77</v>
      </c>
      <c r="G240" s="41">
        <v>0.42</v>
      </c>
      <c r="H240" s="41">
        <v>0.9</v>
      </c>
      <c r="I240" s="41">
        <v>0</v>
      </c>
      <c r="J240" s="41">
        <v>6.1999999999999998E-3</v>
      </c>
      <c r="K240" s="41">
        <v>0</v>
      </c>
      <c r="L240" s="41">
        <v>0</v>
      </c>
      <c r="M240" s="41">
        <v>0</v>
      </c>
      <c r="N240" s="41">
        <v>0</v>
      </c>
      <c r="O240" s="42">
        <f>SUM(G240:N240)</f>
        <v>1.3262</v>
      </c>
      <c r="P240" s="42">
        <f>SUMPRODUCT(G240:N240,$G$2:$N$2)*1000/Assumptions!$C$15</f>
        <v>0.48567554017595299</v>
      </c>
      <c r="Q240" s="43">
        <f>IF(ISNUMBER(Finder!$G$5),Finder!$D$8*Assumptions!$C$16*2*ASIN(SQRT(SIN(RADIANS(E240-Finder!$G$5)/2)^2+COS(RADIANS(Finder!$G$5))*COS(RADIANS(E240))*SIN(RADIANS(F240-Finder!$G$6)/2)^2)),"")</f>
        <v>462.59530189144618</v>
      </c>
      <c r="R240" s="39">
        <f>IF(ISNUMBER(Q240),IF(Q240&lt;=Finder!$D$7,1,0),0)</f>
        <v>0</v>
      </c>
      <c r="S240" s="39" t="str">
        <f>IF(R240=1,O240+ROW()*0.000000001,"")</f>
        <v/>
      </c>
      <c r="T240" s="39" t="str">
        <f>IF(O240&gt;0,INDEX(Calc!$B$4:$B$11,MATCH(MAX(G240:N240),G240:N240,0)),"-")</f>
        <v>Wheat Straw</v>
      </c>
    </row>
    <row r="241" spans="1:20">
      <c r="A241" s="39">
        <v>238</v>
      </c>
      <c r="B241" s="39" t="s">
        <v>297</v>
      </c>
      <c r="C241" s="39" t="s">
        <v>307</v>
      </c>
      <c r="D241" s="39" t="str">
        <f>B241&amp;"|"&amp;C241</f>
        <v>Jammu And Kashmir|Kulgam</v>
      </c>
      <c r="E241" s="40">
        <v>33.64</v>
      </c>
      <c r="F241" s="40">
        <v>75.02</v>
      </c>
      <c r="G241" s="41">
        <v>2.94</v>
      </c>
      <c r="H241" s="41">
        <v>0</v>
      </c>
      <c r="I241" s="41">
        <v>0</v>
      </c>
      <c r="J241" s="41">
        <v>1.6951000000000001</v>
      </c>
      <c r="K241" s="41">
        <v>0</v>
      </c>
      <c r="L241" s="41">
        <v>0</v>
      </c>
      <c r="M241" s="41">
        <v>0</v>
      </c>
      <c r="N241" s="41">
        <v>0</v>
      </c>
      <c r="O241" s="42">
        <f>SUM(G241:N241)</f>
        <v>4.6350999999999996</v>
      </c>
      <c r="P241" s="42">
        <f>SUMPRODUCT(G241:N241,$G$2:$N$2)*1000/Assumptions!$C$15</f>
        <v>1.5763371014662757</v>
      </c>
      <c r="Q241" s="43">
        <f>IF(ISNUMBER(Finder!$G$5),Finder!$D$8*Assumptions!$C$16*2*ASIN(SQRT(SIN(RADIANS(E241-Finder!$G$5)/2)^2+COS(RADIANS(Finder!$G$5))*COS(RADIANS(E241))*SIN(RADIANS(F241-Finder!$G$6)/2)^2)),"")</f>
        <v>503.66194436507908</v>
      </c>
      <c r="R241" s="39">
        <f>IF(ISNUMBER(Q241),IF(Q241&lt;=Finder!$D$7,1,0),0)</f>
        <v>0</v>
      </c>
      <c r="S241" s="39" t="str">
        <f>IF(R241=1,O241+ROW()*0.000000001,"")</f>
        <v/>
      </c>
      <c r="T241" s="39" t="str">
        <f>IF(O241&gt;0,INDEX(Calc!$B$4:$B$11,MATCH(MAX(G241:N241),G241:N241,0)),"-")</f>
        <v>Paddy Straw</v>
      </c>
    </row>
    <row r="242" spans="1:20">
      <c r="A242" s="39">
        <v>239</v>
      </c>
      <c r="B242" s="39" t="s">
        <v>297</v>
      </c>
      <c r="C242" s="39" t="s">
        <v>308</v>
      </c>
      <c r="D242" s="39" t="str">
        <f>B242&amp;"|"&amp;C242</f>
        <v>Jammu And Kashmir|Poonch</v>
      </c>
      <c r="E242" s="40">
        <v>33.770000000000003</v>
      </c>
      <c r="F242" s="40">
        <v>74.099999999999994</v>
      </c>
      <c r="G242" s="41">
        <v>1.26</v>
      </c>
      <c r="H242" s="41">
        <v>7.2</v>
      </c>
      <c r="I242" s="41">
        <v>0</v>
      </c>
      <c r="J242" s="41">
        <v>1.55E-2</v>
      </c>
      <c r="K242" s="41">
        <v>0</v>
      </c>
      <c r="L242" s="41">
        <v>0</v>
      </c>
      <c r="M242" s="41">
        <v>0</v>
      </c>
      <c r="N242" s="41">
        <v>0</v>
      </c>
      <c r="O242" s="42">
        <f>SUM(G242:N242)</f>
        <v>8.4755000000000003</v>
      </c>
      <c r="P242" s="42">
        <f>SUMPRODUCT(G242:N242,$G$2:$N$2)*1000/Assumptions!$C$15</f>
        <v>3.1056087917888564</v>
      </c>
      <c r="Q242" s="43">
        <f>IF(ISNUMBER(Finder!$G$5),Finder!$D$8*Assumptions!$C$16*2*ASIN(SQRT(SIN(RADIANS(E242-Finder!$G$5)/2)^2+COS(RADIANS(Finder!$G$5))*COS(RADIANS(E242))*SIN(RADIANS(F242-Finder!$G$6)/2)^2)),"")</f>
        <v>536.18242303937666</v>
      </c>
      <c r="R242" s="39">
        <f>IF(ISNUMBER(Q242),IF(Q242&lt;=Finder!$D$7,1,0),0)</f>
        <v>0</v>
      </c>
      <c r="S242" s="39" t="str">
        <f>IF(R242=1,O242+ROW()*0.000000001,"")</f>
        <v/>
      </c>
      <c r="T242" s="39" t="str">
        <f>IF(O242&gt;0,INDEX(Calc!$B$4:$B$11,MATCH(MAX(G242:N242),G242:N242,0)),"-")</f>
        <v>Wheat Straw</v>
      </c>
    </row>
    <row r="243" spans="1:20">
      <c r="A243" s="39">
        <v>240</v>
      </c>
      <c r="B243" s="39" t="s">
        <v>297</v>
      </c>
      <c r="C243" s="39" t="s">
        <v>309</v>
      </c>
      <c r="D243" s="39" t="str">
        <f>B243&amp;"|"&amp;C243</f>
        <v>Jammu And Kashmir|Pulwama</v>
      </c>
      <c r="E243" s="40">
        <v>33.869999999999997</v>
      </c>
      <c r="F243" s="40">
        <v>74.900000000000006</v>
      </c>
      <c r="G243" s="41">
        <v>4.62</v>
      </c>
      <c r="H243" s="41">
        <v>0</v>
      </c>
      <c r="I243" s="41">
        <v>0</v>
      </c>
      <c r="J243" s="41">
        <v>4.6413000000000002</v>
      </c>
      <c r="K243" s="41">
        <v>0</v>
      </c>
      <c r="L243" s="41">
        <v>0</v>
      </c>
      <c r="M243" s="41">
        <v>0</v>
      </c>
      <c r="N243" s="41">
        <v>0</v>
      </c>
      <c r="O243" s="42">
        <f>SUM(G243:N243)</f>
        <v>9.2613000000000003</v>
      </c>
      <c r="P243" s="42">
        <f>SUMPRODUCT(G243:N243,$G$2:$N$2)*1000/Assumptions!$C$15</f>
        <v>3.0588667178885629</v>
      </c>
      <c r="Q243" s="43">
        <f>IF(ISNUMBER(Finder!$G$5),Finder!$D$8*Assumptions!$C$16*2*ASIN(SQRT(SIN(RADIANS(E243-Finder!$G$5)/2)^2+COS(RADIANS(Finder!$G$5))*COS(RADIANS(E243))*SIN(RADIANS(F243-Finder!$G$6)/2)^2)),"")</f>
        <v>530.55871898699957</v>
      </c>
      <c r="R243" s="39">
        <f>IF(ISNUMBER(Q243),IF(Q243&lt;=Finder!$D$7,1,0),0)</f>
        <v>0</v>
      </c>
      <c r="S243" s="39" t="str">
        <f>IF(R243=1,O243+ROW()*0.000000001,"")</f>
        <v/>
      </c>
      <c r="T243" s="39" t="str">
        <f>IF(O243&gt;0,INDEX(Calc!$B$4:$B$11,MATCH(MAX(G243:N243),G243:N243,0)),"-")</f>
        <v>Mustard Stalk</v>
      </c>
    </row>
    <row r="244" spans="1:20">
      <c r="A244" s="39">
        <v>241</v>
      </c>
      <c r="B244" s="39" t="s">
        <v>297</v>
      </c>
      <c r="C244" s="39" t="s">
        <v>310</v>
      </c>
      <c r="D244" s="39" t="str">
        <f>B244&amp;"|"&amp;C244</f>
        <v>Jammu And Kashmir|Rajouri</v>
      </c>
      <c r="E244" s="40">
        <v>33.380000000000003</v>
      </c>
      <c r="F244" s="40">
        <v>74.31</v>
      </c>
      <c r="G244" s="41">
        <v>1.68</v>
      </c>
      <c r="H244" s="41">
        <v>22.5</v>
      </c>
      <c r="I244" s="41">
        <v>0</v>
      </c>
      <c r="J244" s="41">
        <v>0.16639999999999999</v>
      </c>
      <c r="K244" s="41">
        <v>0</v>
      </c>
      <c r="L244" s="41">
        <v>0</v>
      </c>
      <c r="M244" s="41">
        <v>0</v>
      </c>
      <c r="N244" s="41">
        <v>0</v>
      </c>
      <c r="O244" s="42">
        <f>SUM(G244:N244)</f>
        <v>24.346399999999999</v>
      </c>
      <c r="P244" s="42">
        <f>SUMPRODUCT(G244:N244,$G$2:$N$2)*1000/Assumptions!$C$15</f>
        <v>8.9122336727272735</v>
      </c>
      <c r="Q244" s="43">
        <f>IF(ISNUMBER(Finder!$G$5),Finder!$D$8*Assumptions!$C$16*2*ASIN(SQRT(SIN(RADIANS(E244-Finder!$G$5)/2)^2+COS(RADIANS(Finder!$G$5))*COS(RADIANS(E244))*SIN(RADIANS(F244-Finder!$G$6)/2)^2)),"")</f>
        <v>489.05647217160868</v>
      </c>
      <c r="R244" s="39">
        <f>IF(ISNUMBER(Q244),IF(Q244&lt;=Finder!$D$7,1,0),0)</f>
        <v>0</v>
      </c>
      <c r="S244" s="39" t="str">
        <f>IF(R244=1,O244+ROW()*0.000000001,"")</f>
        <v/>
      </c>
      <c r="T244" s="39" t="str">
        <f>IF(O244&gt;0,INDEX(Calc!$B$4:$B$11,MATCH(MAX(G244:N244),G244:N244,0)),"-")</f>
        <v>Wheat Straw</v>
      </c>
    </row>
    <row r="245" spans="1:20">
      <c r="A245" s="39">
        <v>242</v>
      </c>
      <c r="B245" s="39" t="s">
        <v>297</v>
      </c>
      <c r="C245" s="39" t="s">
        <v>311</v>
      </c>
      <c r="D245" s="39" t="str">
        <f>B245&amp;"|"&amp;C245</f>
        <v>Jammu And Kashmir|Ramban</v>
      </c>
      <c r="E245" s="40">
        <v>33.24</v>
      </c>
      <c r="F245" s="40">
        <v>75.239999999999995</v>
      </c>
      <c r="G245" s="41">
        <v>0.42</v>
      </c>
      <c r="H245" s="41">
        <v>2.25</v>
      </c>
      <c r="I245" s="41">
        <v>0</v>
      </c>
      <c r="J245" s="41">
        <v>6.1600000000000002E-2</v>
      </c>
      <c r="K245" s="41">
        <v>0</v>
      </c>
      <c r="L245" s="41">
        <v>0</v>
      </c>
      <c r="M245" s="41">
        <v>0</v>
      </c>
      <c r="N245" s="41">
        <v>0</v>
      </c>
      <c r="O245" s="42">
        <f>SUM(G245:N245)</f>
        <v>2.7315999999999998</v>
      </c>
      <c r="P245" s="42">
        <f>SUMPRODUCT(G245:N245,$G$2:$N$2)*1000/Assumptions!$C$15</f>
        <v>0.99682145337243389</v>
      </c>
      <c r="Q245" s="43">
        <f>IF(ISNUMBER(Finder!$G$5),Finder!$D$8*Assumptions!$C$16*2*ASIN(SQRT(SIN(RADIANS(E245-Finder!$G$5)/2)^2+COS(RADIANS(Finder!$G$5))*COS(RADIANS(E245))*SIN(RADIANS(F245-Finder!$G$6)/2)^2)),"")</f>
        <v>457.07119097792594</v>
      </c>
      <c r="R245" s="39">
        <f>IF(ISNUMBER(Q245),IF(Q245&lt;=Finder!$D$7,1,0),0)</f>
        <v>0</v>
      </c>
      <c r="S245" s="39" t="str">
        <f>IF(R245=1,O245+ROW()*0.000000001,"")</f>
        <v/>
      </c>
      <c r="T245" s="39" t="str">
        <f>IF(O245&gt;0,INDEX(Calc!$B$4:$B$11,MATCH(MAX(G245:N245),G245:N245,0)),"-")</f>
        <v>Wheat Straw</v>
      </c>
    </row>
    <row r="246" spans="1:20">
      <c r="A246" s="39">
        <v>243</v>
      </c>
      <c r="B246" s="39" t="s">
        <v>297</v>
      </c>
      <c r="C246" s="39" t="s">
        <v>312</v>
      </c>
      <c r="D246" s="39" t="str">
        <f>B246&amp;"|"&amp;C246</f>
        <v>Jammu And Kashmir|Reasi</v>
      </c>
      <c r="E246" s="40">
        <v>33.08</v>
      </c>
      <c r="F246" s="40">
        <v>74.83</v>
      </c>
      <c r="G246" s="41">
        <v>0.42</v>
      </c>
      <c r="H246" s="41">
        <v>6.75</v>
      </c>
      <c r="I246" s="41">
        <v>0</v>
      </c>
      <c r="J246" s="41">
        <v>2.2700000000000001E-2</v>
      </c>
      <c r="K246" s="41">
        <v>0</v>
      </c>
      <c r="L246" s="41">
        <v>0</v>
      </c>
      <c r="M246" s="41">
        <v>0</v>
      </c>
      <c r="N246" s="41">
        <v>0</v>
      </c>
      <c r="O246" s="42">
        <f>SUM(G246:N246)</f>
        <v>7.1927000000000003</v>
      </c>
      <c r="P246" s="42">
        <f>SUMPRODUCT(G246:N246,$G$2:$N$2)*1000/Assumptions!$C$15</f>
        <v>2.6348719155425218</v>
      </c>
      <c r="Q246" s="43">
        <f>IF(ISNUMBER(Finder!$G$5),Finder!$D$8*Assumptions!$C$16*2*ASIN(SQRT(SIN(RADIANS(E246-Finder!$G$5)/2)^2+COS(RADIANS(Finder!$G$5))*COS(RADIANS(E246))*SIN(RADIANS(F246-Finder!$G$6)/2)^2)),"")</f>
        <v>445.12704560832884</v>
      </c>
      <c r="R246" s="39">
        <f>IF(ISNUMBER(Q246),IF(Q246&lt;=Finder!$D$7,1,0),0)</f>
        <v>0</v>
      </c>
      <c r="S246" s="39" t="str">
        <f>IF(R246=1,O246+ROW()*0.000000001,"")</f>
        <v/>
      </c>
      <c r="T246" s="39" t="str">
        <f>IF(O246&gt;0,INDEX(Calc!$B$4:$B$11,MATCH(MAX(G246:N246),G246:N246,0)),"-")</f>
        <v>Wheat Straw</v>
      </c>
    </row>
    <row r="247" spans="1:20">
      <c r="A247" s="39">
        <v>244</v>
      </c>
      <c r="B247" s="39" t="s">
        <v>297</v>
      </c>
      <c r="C247" s="39" t="s">
        <v>313</v>
      </c>
      <c r="D247" s="39" t="str">
        <f>B247&amp;"|"&amp;C247</f>
        <v>Jammu And Kashmir|Samba</v>
      </c>
      <c r="E247" s="40">
        <v>32.56</v>
      </c>
      <c r="F247" s="40">
        <v>75.12</v>
      </c>
      <c r="G247" s="41">
        <v>7.98</v>
      </c>
      <c r="H247" s="41">
        <v>12.6</v>
      </c>
      <c r="I247" s="41">
        <v>0</v>
      </c>
      <c r="J247" s="41">
        <v>0.23319999999999999</v>
      </c>
      <c r="K247" s="41">
        <v>0</v>
      </c>
      <c r="L247" s="41">
        <v>0</v>
      </c>
      <c r="M247" s="41">
        <v>0</v>
      </c>
      <c r="N247" s="41">
        <v>0</v>
      </c>
      <c r="O247" s="42">
        <f>SUM(G247:N247)</f>
        <v>20.813199999999998</v>
      </c>
      <c r="P247" s="42">
        <f>SUMPRODUCT(G247:N247,$G$2:$N$2)*1000/Assumptions!$C$15</f>
        <v>7.6122897102639282</v>
      </c>
      <c r="Q247" s="43">
        <f>IF(ISNUMBER(Finder!$G$5),Finder!$D$8*Assumptions!$C$16*2*ASIN(SQRT(SIN(RADIANS(E247-Finder!$G$5)/2)^2+COS(RADIANS(Finder!$G$5))*COS(RADIANS(E247))*SIN(RADIANS(F247-Finder!$G$6)/2)^2)),"")</f>
        <v>383.47332784954096</v>
      </c>
      <c r="R247" s="39">
        <f>IF(ISNUMBER(Q247),IF(Q247&lt;=Finder!$D$7,1,0),0)</f>
        <v>0</v>
      </c>
      <c r="S247" s="39" t="str">
        <f>IF(R247=1,O247+ROW()*0.000000001,"")</f>
        <v/>
      </c>
      <c r="T247" s="39" t="str">
        <f>IF(O247&gt;0,INDEX(Calc!$B$4:$B$11,MATCH(MAX(G247:N247),G247:N247,0)),"-")</f>
        <v>Wheat Straw</v>
      </c>
    </row>
    <row r="248" spans="1:20">
      <c r="A248" s="39">
        <v>245</v>
      </c>
      <c r="B248" s="39" t="s">
        <v>297</v>
      </c>
      <c r="C248" s="39" t="s">
        <v>314</v>
      </c>
      <c r="D248" s="39" t="str">
        <f>B248&amp;"|"&amp;C248</f>
        <v>Jammu And Kashmir|Shopian</v>
      </c>
      <c r="E248" s="40">
        <v>33.72</v>
      </c>
      <c r="F248" s="40">
        <v>74.83</v>
      </c>
      <c r="G248" s="41">
        <v>0</v>
      </c>
      <c r="H248" s="41">
        <v>0</v>
      </c>
      <c r="I248" s="41">
        <v>0</v>
      </c>
      <c r="J248" s="41">
        <v>0.1409</v>
      </c>
      <c r="K248" s="41">
        <v>0</v>
      </c>
      <c r="L248" s="41">
        <v>0</v>
      </c>
      <c r="M248" s="41">
        <v>0</v>
      </c>
      <c r="N248" s="41">
        <v>0</v>
      </c>
      <c r="O248" s="42">
        <f>SUM(G248:N248)</f>
        <v>0.1409</v>
      </c>
      <c r="P248" s="42">
        <f>SUMPRODUCT(G248:N248,$G$2:$N$2)*1000/Assumptions!$C$15</f>
        <v>4.1450218181818183E-2</v>
      </c>
      <c r="Q248" s="43">
        <f>IF(ISNUMBER(Finder!$G$5),Finder!$D$8*Assumptions!$C$16*2*ASIN(SQRT(SIN(RADIANS(E248-Finder!$G$5)/2)^2+COS(RADIANS(Finder!$G$5))*COS(RADIANS(E248))*SIN(RADIANS(F248-Finder!$G$6)/2)^2)),"")</f>
        <v>515.12064061336093</v>
      </c>
      <c r="R248" s="39">
        <f>IF(ISNUMBER(Q248),IF(Q248&lt;=Finder!$D$7,1,0),0)</f>
        <v>0</v>
      </c>
      <c r="S248" s="39" t="str">
        <f>IF(R248=1,O248+ROW()*0.000000001,"")</f>
        <v/>
      </c>
      <c r="T248" s="39" t="str">
        <f>IF(O248&gt;0,INDEX(Calc!$B$4:$B$11,MATCH(MAX(G248:N248),G248:N248,0)),"-")</f>
        <v>Mustard Stalk</v>
      </c>
    </row>
    <row r="249" spans="1:20">
      <c r="A249" s="39">
        <v>246</v>
      </c>
      <c r="B249" s="39" t="s">
        <v>297</v>
      </c>
      <c r="C249" s="39" t="s">
        <v>315</v>
      </c>
      <c r="D249" s="39" t="str">
        <f>B249&amp;"|"&amp;C249</f>
        <v>Jammu And Kashmir|Srinagar</v>
      </c>
      <c r="E249" s="40">
        <v>34.08</v>
      </c>
      <c r="F249" s="40">
        <v>74.8</v>
      </c>
      <c r="G249" s="41">
        <v>1.26</v>
      </c>
      <c r="H249" s="41">
        <v>0</v>
      </c>
      <c r="I249" s="41">
        <v>0</v>
      </c>
      <c r="J249" s="41">
        <v>6.7199999999999996E-2</v>
      </c>
      <c r="K249" s="41">
        <v>0</v>
      </c>
      <c r="L249" s="41">
        <v>0</v>
      </c>
      <c r="M249" s="41">
        <v>0</v>
      </c>
      <c r="N249" s="41">
        <v>0</v>
      </c>
      <c r="O249" s="42">
        <f>SUM(G249:N249)</f>
        <v>1.3271999999999999</v>
      </c>
      <c r="P249" s="42">
        <f>SUMPRODUCT(G249:N249,$G$2:$N$2)*1000/Assumptions!$C$15</f>
        <v>0.48162737595307914</v>
      </c>
      <c r="Q249" s="43">
        <f>IF(ISNUMBER(Finder!$G$5),Finder!$D$8*Assumptions!$C$16*2*ASIN(SQRT(SIN(RADIANS(E249-Finder!$G$5)/2)^2+COS(RADIANS(Finder!$G$5))*COS(RADIANS(E249))*SIN(RADIANS(F249-Finder!$G$6)/2)^2)),"")</f>
        <v>555.06097678322203</v>
      </c>
      <c r="R249" s="39">
        <f>IF(ISNUMBER(Q249),IF(Q249&lt;=Finder!$D$7,1,0),0)</f>
        <v>0</v>
      </c>
      <c r="S249" s="39" t="str">
        <f>IF(R249=1,O249+ROW()*0.000000001,"")</f>
        <v/>
      </c>
      <c r="T249" s="39" t="str">
        <f>IF(O249&gt;0,INDEX(Calc!$B$4:$B$11,MATCH(MAX(G249:N249),G249:N249,0)),"-")</f>
        <v>Paddy Straw</v>
      </c>
    </row>
    <row r="250" spans="1:20">
      <c r="A250" s="39">
        <v>247</v>
      </c>
      <c r="B250" s="39" t="s">
        <v>297</v>
      </c>
      <c r="C250" s="39" t="s">
        <v>316</v>
      </c>
      <c r="D250" s="39" t="str">
        <f>B250&amp;"|"&amp;C250</f>
        <v>Jammu And Kashmir|Udhampur</v>
      </c>
      <c r="E250" s="40">
        <v>32.92</v>
      </c>
      <c r="F250" s="40">
        <v>75.14</v>
      </c>
      <c r="G250" s="41">
        <v>5.88</v>
      </c>
      <c r="H250" s="41">
        <v>14.85</v>
      </c>
      <c r="I250" s="41">
        <v>0</v>
      </c>
      <c r="J250" s="41">
        <v>0.79120000000000001</v>
      </c>
      <c r="K250" s="41">
        <v>0</v>
      </c>
      <c r="L250" s="41">
        <v>0</v>
      </c>
      <c r="M250" s="41">
        <v>0</v>
      </c>
      <c r="N250" s="41">
        <v>0</v>
      </c>
      <c r="O250" s="42">
        <f>SUM(G250:N250)</f>
        <v>21.5212</v>
      </c>
      <c r="P250" s="42">
        <f>SUMPRODUCT(G250:N250,$G$2:$N$2)*1000/Assumptions!$C$15</f>
        <v>7.8314263026392963</v>
      </c>
      <c r="Q250" s="43">
        <f>IF(ISNUMBER(Finder!$G$5),Finder!$D$8*Assumptions!$C$16*2*ASIN(SQRT(SIN(RADIANS(E250-Finder!$G$5)/2)^2+COS(RADIANS(Finder!$G$5))*COS(RADIANS(E250))*SIN(RADIANS(F250-Finder!$G$6)/2)^2)),"")</f>
        <v>422.8288098978839</v>
      </c>
      <c r="R250" s="39">
        <f>IF(ISNUMBER(Q250),IF(Q250&lt;=Finder!$D$7,1,0),0)</f>
        <v>0</v>
      </c>
      <c r="S250" s="39" t="str">
        <f>IF(R250=1,O250+ROW()*0.000000001,"")</f>
        <v/>
      </c>
      <c r="T250" s="39" t="str">
        <f>IF(O250&gt;0,INDEX(Calc!$B$4:$B$11,MATCH(MAX(G250:N250),G250:N250,0)),"-")</f>
        <v>Wheat Straw</v>
      </c>
    </row>
    <row r="251" spans="1:20">
      <c r="A251" s="39">
        <v>248</v>
      </c>
      <c r="B251" s="39" t="s">
        <v>317</v>
      </c>
      <c r="C251" s="39" t="s">
        <v>318</v>
      </c>
      <c r="D251" s="39" t="str">
        <f>B251&amp;"|"&amp;C251</f>
        <v>Jharkhand|Bokaro</v>
      </c>
      <c r="E251" s="40">
        <v>23.67</v>
      </c>
      <c r="F251" s="40">
        <v>86.15</v>
      </c>
      <c r="G251" s="41">
        <v>11.76</v>
      </c>
      <c r="H251" s="41">
        <v>3.15</v>
      </c>
      <c r="I251" s="41">
        <v>14.949400000000001</v>
      </c>
      <c r="J251" s="41">
        <v>4.0442999999999998</v>
      </c>
      <c r="K251" s="41">
        <v>0</v>
      </c>
      <c r="L251" s="41">
        <v>0</v>
      </c>
      <c r="M251" s="41">
        <v>3.0599999999999999E-2</v>
      </c>
      <c r="N251" s="41">
        <v>0</v>
      </c>
      <c r="O251" s="42">
        <f>SUM(G251:N251)</f>
        <v>33.9343</v>
      </c>
      <c r="P251" s="42">
        <f>SUMPRODUCT(G251:N251,$G$2:$N$2)*1000/Assumptions!$C$15</f>
        <v>11.062588239296188</v>
      </c>
      <c r="Q251" s="43">
        <f>IF(ISNUMBER(Finder!$G$5),Finder!$D$8*Assumptions!$C$16*2*ASIN(SQRT(SIN(RADIANS(E251-Finder!$G$5)/2)^2+COS(RADIANS(Finder!$G$5))*COS(RADIANS(E251))*SIN(RADIANS(F251-Finder!$G$6)/2)^2)),"")</f>
        <v>1203.4234825465301</v>
      </c>
      <c r="R251" s="39">
        <f>IF(ISNUMBER(Q251),IF(Q251&lt;=Finder!$D$7,1,0),0)</f>
        <v>0</v>
      </c>
      <c r="S251" s="39" t="str">
        <f>IF(R251=1,O251+ROW()*0.000000001,"")</f>
        <v/>
      </c>
      <c r="T251" s="39" t="str">
        <f>IF(O251&gt;0,INDEX(Calc!$B$4:$B$11,MATCH(MAX(G251:N251),G251:N251,0)),"-")</f>
        <v>Maize Stover</v>
      </c>
    </row>
    <row r="252" spans="1:20">
      <c r="A252" s="39">
        <v>249</v>
      </c>
      <c r="B252" s="39" t="s">
        <v>317</v>
      </c>
      <c r="C252" s="39" t="s">
        <v>319</v>
      </c>
      <c r="D252" s="39" t="str">
        <f>B252&amp;"|"&amp;C252</f>
        <v>Jharkhand|Chatra</v>
      </c>
      <c r="E252" s="40">
        <v>24.21</v>
      </c>
      <c r="F252" s="40">
        <v>84.87</v>
      </c>
      <c r="G252" s="41">
        <v>13.02</v>
      </c>
      <c r="H252" s="41">
        <v>5.85</v>
      </c>
      <c r="I252" s="41">
        <v>10.951499999999999</v>
      </c>
      <c r="J252" s="41">
        <v>5.7911999999999999</v>
      </c>
      <c r="K252" s="41">
        <v>0</v>
      </c>
      <c r="L252" s="41">
        <v>0</v>
      </c>
      <c r="M252" s="41">
        <v>0.16889999999999999</v>
      </c>
      <c r="N252" s="41">
        <v>0</v>
      </c>
      <c r="O252" s="42">
        <f>SUM(G252:N252)</f>
        <v>35.781599999999997</v>
      </c>
      <c r="P252" s="42">
        <f>SUMPRODUCT(G252:N252,$G$2:$N$2)*1000/Assumptions!$C$15</f>
        <v>11.895613404105573</v>
      </c>
      <c r="Q252" s="43">
        <f>IF(ISNUMBER(Finder!$G$5),Finder!$D$8*Assumptions!$C$16*2*ASIN(SQRT(SIN(RADIANS(E252-Finder!$G$5)/2)^2+COS(RADIANS(Finder!$G$5))*COS(RADIANS(E252))*SIN(RADIANS(F252-Finder!$G$6)/2)^2)),"")</f>
        <v>1061.5796182144095</v>
      </c>
      <c r="R252" s="39">
        <f>IF(ISNUMBER(Q252),IF(Q252&lt;=Finder!$D$7,1,0),0)</f>
        <v>0</v>
      </c>
      <c r="S252" s="39" t="str">
        <f>IF(R252=1,O252+ROW()*0.000000001,"")</f>
        <v/>
      </c>
      <c r="T252" s="39" t="str">
        <f>IF(O252&gt;0,INDEX(Calc!$B$4:$B$11,MATCH(MAX(G252:N252),G252:N252,0)),"-")</f>
        <v>Paddy Straw</v>
      </c>
    </row>
    <row r="253" spans="1:20">
      <c r="A253" s="39">
        <v>250</v>
      </c>
      <c r="B253" s="39" t="s">
        <v>317</v>
      </c>
      <c r="C253" s="39" t="s">
        <v>320</v>
      </c>
      <c r="D253" s="39" t="str">
        <f>B253&amp;"|"&amp;C253</f>
        <v>Jharkhand|Deoghar</v>
      </c>
      <c r="E253" s="40">
        <v>24.48</v>
      </c>
      <c r="F253" s="40">
        <v>86.7</v>
      </c>
      <c r="G253" s="41">
        <v>18.48</v>
      </c>
      <c r="H253" s="41">
        <v>4.95</v>
      </c>
      <c r="I253" s="41">
        <v>18.880099999999999</v>
      </c>
      <c r="J253" s="41">
        <v>7.2704000000000004</v>
      </c>
      <c r="K253" s="41">
        <v>0</v>
      </c>
      <c r="L253" s="41">
        <v>0</v>
      </c>
      <c r="M253" s="41">
        <v>2.5999999999999999E-3</v>
      </c>
      <c r="N253" s="41">
        <v>0</v>
      </c>
      <c r="O253" s="42">
        <f>SUM(G253:N253)</f>
        <v>49.583100000000002</v>
      </c>
      <c r="P253" s="42">
        <f>SUMPRODUCT(G253:N253,$G$2:$N$2)*1000/Assumptions!$C$15</f>
        <v>16.282188816422284</v>
      </c>
      <c r="Q253" s="43">
        <f>IF(ISNUMBER(Finder!$G$5),Finder!$D$8*Assumptions!$C$16*2*ASIN(SQRT(SIN(RADIANS(E253-Finder!$G$5)/2)^2+COS(RADIANS(Finder!$G$5))*COS(RADIANS(E253))*SIN(RADIANS(F253-Finder!$G$6)/2)^2)),"")</f>
        <v>1206.2529502958</v>
      </c>
      <c r="R253" s="39">
        <f>IF(ISNUMBER(Q253),IF(Q253&lt;=Finder!$D$7,1,0),0)</f>
        <v>0</v>
      </c>
      <c r="S253" s="39" t="str">
        <f>IF(R253=1,O253+ROW()*0.000000001,"")</f>
        <v/>
      </c>
      <c r="T253" s="39" t="str">
        <f>IF(O253&gt;0,INDEX(Calc!$B$4:$B$11,MATCH(MAX(G253:N253),G253:N253,0)),"-")</f>
        <v>Maize Stover</v>
      </c>
    </row>
    <row r="254" spans="1:20">
      <c r="A254" s="39">
        <v>251</v>
      </c>
      <c r="B254" s="39" t="s">
        <v>317</v>
      </c>
      <c r="C254" s="39" t="s">
        <v>321</v>
      </c>
      <c r="D254" s="39" t="str">
        <f>B254&amp;"|"&amp;C254</f>
        <v>Jharkhand|Dhanbad</v>
      </c>
      <c r="E254" s="40">
        <v>23.8</v>
      </c>
      <c r="F254" s="40">
        <v>86.43</v>
      </c>
      <c r="G254" s="41">
        <v>12.18</v>
      </c>
      <c r="H254" s="41">
        <v>0.45</v>
      </c>
      <c r="I254" s="41">
        <v>2.2248999999999999</v>
      </c>
      <c r="J254" s="41">
        <v>3.8832</v>
      </c>
      <c r="K254" s="41">
        <v>0</v>
      </c>
      <c r="L254" s="41">
        <v>0</v>
      </c>
      <c r="M254" s="41">
        <v>0</v>
      </c>
      <c r="N254" s="41">
        <v>0</v>
      </c>
      <c r="O254" s="42">
        <f>SUM(G254:N254)</f>
        <v>18.738099999999999</v>
      </c>
      <c r="P254" s="42">
        <f>SUMPRODUCT(G254:N254,$G$2:$N$2)*1000/Assumptions!$C$15</f>
        <v>6.4264721689149562</v>
      </c>
      <c r="Q254" s="43">
        <f>IF(ISNUMBER(Finder!$G$5),Finder!$D$8*Assumptions!$C$16*2*ASIN(SQRT(SIN(RADIANS(E254-Finder!$G$5)/2)^2+COS(RADIANS(Finder!$G$5))*COS(RADIANS(E254))*SIN(RADIANS(F254-Finder!$G$6)/2)^2)),"")</f>
        <v>1219.9047191748987</v>
      </c>
      <c r="R254" s="39">
        <f>IF(ISNUMBER(Q254),IF(Q254&lt;=Finder!$D$7,1,0),0)</f>
        <v>0</v>
      </c>
      <c r="S254" s="39" t="str">
        <f>IF(R254=1,O254+ROW()*0.000000001,"")</f>
        <v/>
      </c>
      <c r="T254" s="39" t="str">
        <f>IF(O254&gt;0,INDEX(Calc!$B$4:$B$11,MATCH(MAX(G254:N254),G254:N254,0)),"-")</f>
        <v>Paddy Straw</v>
      </c>
    </row>
    <row r="255" spans="1:20">
      <c r="A255" s="39">
        <v>252</v>
      </c>
      <c r="B255" s="39" t="s">
        <v>317</v>
      </c>
      <c r="C255" s="39" t="s">
        <v>322</v>
      </c>
      <c r="D255" s="39" t="str">
        <f>B255&amp;"|"&amp;C255</f>
        <v>Jharkhand|Dumka</v>
      </c>
      <c r="E255" s="40">
        <v>24.27</v>
      </c>
      <c r="F255" s="40">
        <v>87.25</v>
      </c>
      <c r="G255" s="41">
        <v>37.799999999999997</v>
      </c>
      <c r="H255" s="41">
        <v>4.95</v>
      </c>
      <c r="I255" s="41">
        <v>20.2713</v>
      </c>
      <c r="J255" s="41">
        <v>8.2308000000000003</v>
      </c>
      <c r="K255" s="41">
        <v>0</v>
      </c>
      <c r="L255" s="41">
        <v>0</v>
      </c>
      <c r="M255" s="41">
        <v>0</v>
      </c>
      <c r="N255" s="41">
        <v>0</v>
      </c>
      <c r="O255" s="42">
        <f>SUM(G255:N255)</f>
        <v>71.252099999999999</v>
      </c>
      <c r="P255" s="42">
        <f>SUMPRODUCT(G255:N255,$G$2:$N$2)*1000/Assumptions!$C$15</f>
        <v>24.054993881524929</v>
      </c>
      <c r="Q255" s="43">
        <f>IF(ISNUMBER(Finder!$G$5),Finder!$D$8*Assumptions!$C$16*2*ASIN(SQRT(SIN(RADIANS(E255-Finder!$G$5)/2)^2+COS(RADIANS(Finder!$G$5))*COS(RADIANS(E255))*SIN(RADIANS(F255-Finder!$G$6)/2)^2)),"")</f>
        <v>1266.4123517252913</v>
      </c>
      <c r="R255" s="39">
        <f>IF(ISNUMBER(Q255),IF(Q255&lt;=Finder!$D$7,1,0),0)</f>
        <v>0</v>
      </c>
      <c r="S255" s="39" t="str">
        <f>IF(R255=1,O255+ROW()*0.000000001,"")</f>
        <v/>
      </c>
      <c r="T255" s="39" t="str">
        <f>IF(O255&gt;0,INDEX(Calc!$B$4:$B$11,MATCH(MAX(G255:N255),G255:N255,0)),"-")</f>
        <v>Paddy Straw</v>
      </c>
    </row>
    <row r="256" spans="1:20">
      <c r="A256" s="39">
        <v>253</v>
      </c>
      <c r="B256" s="39" t="s">
        <v>317</v>
      </c>
      <c r="C256" s="39" t="s">
        <v>323</v>
      </c>
      <c r="D256" s="39" t="str">
        <f>B256&amp;"|"&amp;C256</f>
        <v>Jharkhand|East Singhbum</v>
      </c>
      <c r="E256" s="40">
        <v>22.8</v>
      </c>
      <c r="F256" s="40">
        <v>86.18</v>
      </c>
      <c r="G256" s="41">
        <v>34.44</v>
      </c>
      <c r="H256" s="41">
        <v>2.25</v>
      </c>
      <c r="I256" s="41">
        <v>23.043299999999999</v>
      </c>
      <c r="J256" s="41">
        <v>8.3680000000000003</v>
      </c>
      <c r="K256" s="41">
        <v>0</v>
      </c>
      <c r="L256" s="41">
        <v>0</v>
      </c>
      <c r="M256" s="41">
        <v>0</v>
      </c>
      <c r="N256" s="41">
        <v>0</v>
      </c>
      <c r="O256" s="42">
        <f>SUM(G256:N256)</f>
        <v>68.101299999999995</v>
      </c>
      <c r="P256" s="42">
        <f>SUMPRODUCT(G256:N256,$G$2:$N$2)*1000/Assumptions!$C$15</f>
        <v>22.689508858651024</v>
      </c>
      <c r="Q256" s="43">
        <f>IF(ISNUMBER(Finder!$G$5),Finder!$D$8*Assumptions!$C$16*2*ASIN(SQRT(SIN(RADIANS(E256-Finder!$G$5)/2)^2+COS(RADIANS(Finder!$G$5))*COS(RADIANS(E256))*SIN(RADIANS(F256-Finder!$G$6)/2)^2)),"")</f>
        <v>1260.6964253361857</v>
      </c>
      <c r="R256" s="39">
        <f>IF(ISNUMBER(Q256),IF(Q256&lt;=Finder!$D$7,1,0),0)</f>
        <v>0</v>
      </c>
      <c r="S256" s="39" t="str">
        <f>IF(R256=1,O256+ROW()*0.000000001,"")</f>
        <v/>
      </c>
      <c r="T256" s="39" t="str">
        <f>IF(O256&gt;0,INDEX(Calc!$B$4:$B$11,MATCH(MAX(G256:N256),G256:N256,0)),"-")</f>
        <v>Paddy Straw</v>
      </c>
    </row>
    <row r="257" spans="1:20">
      <c r="A257" s="39">
        <v>254</v>
      </c>
      <c r="B257" s="39" t="s">
        <v>317</v>
      </c>
      <c r="C257" s="39" t="s">
        <v>324</v>
      </c>
      <c r="D257" s="39" t="str">
        <f>B257&amp;"|"&amp;C257</f>
        <v>Jharkhand|Garhwa</v>
      </c>
      <c r="E257" s="40">
        <v>24.16</v>
      </c>
      <c r="F257" s="40">
        <v>83.81</v>
      </c>
      <c r="G257" s="41">
        <v>19.739999999999998</v>
      </c>
      <c r="H257" s="41">
        <v>8.5500000000000007</v>
      </c>
      <c r="I257" s="41">
        <v>43.604399999999998</v>
      </c>
      <c r="J257" s="41">
        <v>14.6914</v>
      </c>
      <c r="K257" s="41">
        <v>0</v>
      </c>
      <c r="L257" s="41">
        <v>0</v>
      </c>
      <c r="M257" s="41">
        <v>2.7099999999999999E-2</v>
      </c>
      <c r="N257" s="41">
        <v>0</v>
      </c>
      <c r="O257" s="42">
        <f>SUM(G257:N257)</f>
        <v>86.612899999999996</v>
      </c>
      <c r="P257" s="42">
        <f>SUMPRODUCT(G257:N257,$G$2:$N$2)*1000/Assumptions!$C$15</f>
        <v>27.527942109090905</v>
      </c>
      <c r="Q257" s="43">
        <f>IF(ISNUMBER(Finder!$G$5),Finder!$D$8*Assumptions!$C$16*2*ASIN(SQRT(SIN(RADIANS(E257-Finder!$G$5)/2)^2+COS(RADIANS(Finder!$G$5))*COS(RADIANS(E257))*SIN(RADIANS(F257-Finder!$G$6)/2)^2)),"")</f>
        <v>976.36945411607269</v>
      </c>
      <c r="R257" s="39">
        <f>IF(ISNUMBER(Q257),IF(Q257&lt;=Finder!$D$7,1,0),0)</f>
        <v>0</v>
      </c>
      <c r="S257" s="39" t="str">
        <f>IF(R257=1,O257+ROW()*0.000000001,"")</f>
        <v/>
      </c>
      <c r="T257" s="39" t="str">
        <f>IF(O257&gt;0,INDEX(Calc!$B$4:$B$11,MATCH(MAX(G257:N257),G257:N257,0)),"-")</f>
        <v>Maize Stover</v>
      </c>
    </row>
    <row r="258" spans="1:20">
      <c r="A258" s="39">
        <v>255</v>
      </c>
      <c r="B258" s="39" t="s">
        <v>317</v>
      </c>
      <c r="C258" s="39" t="s">
        <v>325</v>
      </c>
      <c r="D258" s="39" t="str">
        <f>B258&amp;"|"&amp;C258</f>
        <v>Jharkhand|Giridih</v>
      </c>
      <c r="E258" s="40">
        <v>24.19</v>
      </c>
      <c r="F258" s="40">
        <v>86.3</v>
      </c>
      <c r="G258" s="41">
        <v>31.08</v>
      </c>
      <c r="H258" s="41">
        <v>5.85</v>
      </c>
      <c r="I258" s="41">
        <v>30.480399999999999</v>
      </c>
      <c r="J258" s="41">
        <v>5.4561999999999999</v>
      </c>
      <c r="K258" s="41">
        <v>0</v>
      </c>
      <c r="L258" s="41">
        <v>0</v>
      </c>
      <c r="M258" s="41">
        <v>1.3100000000000001E-2</v>
      </c>
      <c r="N258" s="41">
        <v>0</v>
      </c>
      <c r="O258" s="42">
        <f>SUM(G258:N258)</f>
        <v>72.879699999999985</v>
      </c>
      <c r="P258" s="42">
        <f>SUMPRODUCT(G258:N258,$G$2:$N$2)*1000/Assumptions!$C$15</f>
        <v>24.112879695014662</v>
      </c>
      <c r="Q258" s="43">
        <f>IF(ISNUMBER(Finder!$G$5),Finder!$D$8*Assumptions!$C$16*2*ASIN(SQRT(SIN(RADIANS(E258-Finder!$G$5)/2)^2+COS(RADIANS(Finder!$G$5))*COS(RADIANS(E258))*SIN(RADIANS(F258-Finder!$G$6)/2)^2)),"")</f>
        <v>1186.3878564017139</v>
      </c>
      <c r="R258" s="39">
        <f>IF(ISNUMBER(Q258),IF(Q258&lt;=Finder!$D$7,1,0),0)</f>
        <v>0</v>
      </c>
      <c r="S258" s="39" t="str">
        <f>IF(R258=1,O258+ROW()*0.000000001,"")</f>
        <v/>
      </c>
      <c r="T258" s="39" t="str">
        <f>IF(O258&gt;0,INDEX(Calc!$B$4:$B$11,MATCH(MAX(G258:N258),G258:N258,0)),"-")</f>
        <v>Paddy Straw</v>
      </c>
    </row>
    <row r="259" spans="1:20">
      <c r="A259" s="39">
        <v>256</v>
      </c>
      <c r="B259" s="39" t="s">
        <v>317</v>
      </c>
      <c r="C259" s="39" t="s">
        <v>326</v>
      </c>
      <c r="D259" s="39" t="str">
        <f>B259&amp;"|"&amp;C259</f>
        <v>Jharkhand|Godda</v>
      </c>
      <c r="E259" s="40">
        <v>24.83</v>
      </c>
      <c r="F259" s="40">
        <v>87.21</v>
      </c>
      <c r="G259" s="41">
        <v>18.48</v>
      </c>
      <c r="H259" s="41">
        <v>5.85</v>
      </c>
      <c r="I259" s="41">
        <v>28.6219</v>
      </c>
      <c r="J259" s="41">
        <v>14.4072</v>
      </c>
      <c r="K259" s="41">
        <v>0</v>
      </c>
      <c r="L259" s="41">
        <v>0</v>
      </c>
      <c r="M259" s="41">
        <v>0</v>
      </c>
      <c r="N259" s="41">
        <v>0</v>
      </c>
      <c r="O259" s="42">
        <f>SUM(G259:N259)</f>
        <v>67.359099999999998</v>
      </c>
      <c r="P259" s="42">
        <f>SUMPRODUCT(G259:N259,$G$2:$N$2)*1000/Assumptions!$C$15</f>
        <v>21.576643828739002</v>
      </c>
      <c r="Q259" s="43">
        <f>IF(ISNUMBER(Finder!$G$5),Finder!$D$8*Assumptions!$C$16*2*ASIN(SQRT(SIN(RADIANS(E259-Finder!$G$5)/2)^2+COS(RADIANS(Finder!$G$5))*COS(RADIANS(E259))*SIN(RADIANS(F259-Finder!$G$6)/2)^2)),"")</f>
        <v>1234.8638650412795</v>
      </c>
      <c r="R259" s="39">
        <f>IF(ISNUMBER(Q259),IF(Q259&lt;=Finder!$D$7,1,0),0)</f>
        <v>0</v>
      </c>
      <c r="S259" s="39" t="str">
        <f>IF(R259=1,O259+ROW()*0.000000001,"")</f>
        <v/>
      </c>
      <c r="T259" s="39" t="str">
        <f>IF(O259&gt;0,INDEX(Calc!$B$4:$B$11,MATCH(MAX(G259:N259),G259:N259,0)),"-")</f>
        <v>Maize Stover</v>
      </c>
    </row>
    <row r="260" spans="1:20">
      <c r="A260" s="39">
        <v>257</v>
      </c>
      <c r="B260" s="39" t="s">
        <v>317</v>
      </c>
      <c r="C260" s="39" t="s">
        <v>327</v>
      </c>
      <c r="D260" s="39" t="str">
        <f>B260&amp;"|"&amp;C260</f>
        <v>Jharkhand|Gumla</v>
      </c>
      <c r="E260" s="40">
        <v>23.04</v>
      </c>
      <c r="F260" s="40">
        <v>84.54</v>
      </c>
      <c r="G260" s="41">
        <v>67.2</v>
      </c>
      <c r="H260" s="41">
        <v>4.5</v>
      </c>
      <c r="I260" s="41">
        <v>24.052299999999999</v>
      </c>
      <c r="J260" s="41">
        <v>4.3310000000000004</v>
      </c>
      <c r="K260" s="41">
        <v>0</v>
      </c>
      <c r="L260" s="41">
        <v>0</v>
      </c>
      <c r="M260" s="41">
        <v>0</v>
      </c>
      <c r="N260" s="41">
        <v>0</v>
      </c>
      <c r="O260" s="42">
        <f>SUM(G260:N260)</f>
        <v>100.08330000000001</v>
      </c>
      <c r="P260" s="42">
        <f>SUMPRODUCT(G260:N260,$G$2:$N$2)*1000/Assumptions!$C$15</f>
        <v>34.631790682697947</v>
      </c>
      <c r="Q260" s="43">
        <f>IF(ISNUMBER(Finder!$G$5),Finder!$D$8*Assumptions!$C$16*2*ASIN(SQRT(SIN(RADIANS(E260-Finder!$G$5)/2)^2+COS(RADIANS(Finder!$G$5))*COS(RADIANS(E260))*SIN(RADIANS(F260-Finder!$G$6)/2)^2)),"")</f>
        <v>1111.6548798818435</v>
      </c>
      <c r="R260" s="39">
        <f>IF(ISNUMBER(Q260),IF(Q260&lt;=Finder!$D$7,1,0),0)</f>
        <v>0</v>
      </c>
      <c r="S260" s="39" t="str">
        <f>IF(R260=1,O260+ROW()*0.000000001,"")</f>
        <v/>
      </c>
      <c r="T260" s="39" t="str">
        <f>IF(O260&gt;0,INDEX(Calc!$B$4:$B$11,MATCH(MAX(G260:N260),G260:N260,0)),"-")</f>
        <v>Paddy Straw</v>
      </c>
    </row>
    <row r="261" spans="1:20">
      <c r="A261" s="39">
        <v>258</v>
      </c>
      <c r="B261" s="39" t="s">
        <v>317</v>
      </c>
      <c r="C261" s="39" t="s">
        <v>328</v>
      </c>
      <c r="D261" s="39" t="str">
        <f>B261&amp;"|"&amp;C261</f>
        <v>Jharkhand|Hazaribagh</v>
      </c>
      <c r="E261" s="40">
        <v>23.99</v>
      </c>
      <c r="F261" s="40">
        <v>85.36</v>
      </c>
      <c r="G261" s="41">
        <v>30.24</v>
      </c>
      <c r="H261" s="41">
        <v>7.65</v>
      </c>
      <c r="I261" s="41">
        <v>20.620899999999999</v>
      </c>
      <c r="J261" s="41">
        <v>7.0308999999999999</v>
      </c>
      <c r="K261" s="41">
        <v>0</v>
      </c>
      <c r="L261" s="41">
        <v>0</v>
      </c>
      <c r="M261" s="41">
        <v>0</v>
      </c>
      <c r="N261" s="41">
        <v>0</v>
      </c>
      <c r="O261" s="42">
        <f>SUM(G261:N261)</f>
        <v>65.541799999999995</v>
      </c>
      <c r="P261" s="42">
        <f>SUMPRODUCT(G261:N261,$G$2:$N$2)*1000/Assumptions!$C$15</f>
        <v>22.023397415835777</v>
      </c>
      <c r="Q261" s="43">
        <f>IF(ISNUMBER(Finder!$G$5),Finder!$D$8*Assumptions!$C$16*2*ASIN(SQRT(SIN(RADIANS(E261-Finder!$G$5)/2)^2+COS(RADIANS(Finder!$G$5))*COS(RADIANS(E261))*SIN(RADIANS(F261-Finder!$G$6)/2)^2)),"")</f>
        <v>1116.6079027741039</v>
      </c>
      <c r="R261" s="39">
        <f>IF(ISNUMBER(Q261),IF(Q261&lt;=Finder!$D$7,1,0),0)</f>
        <v>0</v>
      </c>
      <c r="S261" s="39" t="str">
        <f>IF(R261=1,O261+ROW()*0.000000001,"")</f>
        <v/>
      </c>
      <c r="T261" s="39" t="str">
        <f>IF(O261&gt;0,INDEX(Calc!$B$4:$B$11,MATCH(MAX(G261:N261),G261:N261,0)),"-")</f>
        <v>Paddy Straw</v>
      </c>
    </row>
    <row r="262" spans="1:20">
      <c r="A262" s="39">
        <v>259</v>
      </c>
      <c r="B262" s="39" t="s">
        <v>317</v>
      </c>
      <c r="C262" s="39" t="s">
        <v>329</v>
      </c>
      <c r="D262" s="39" t="str">
        <f>B262&amp;"|"&amp;C262</f>
        <v>Jharkhand|Jamtara</v>
      </c>
      <c r="E262" s="40">
        <v>23.96</v>
      </c>
      <c r="F262" s="40">
        <v>86.8</v>
      </c>
      <c r="G262" s="41">
        <v>19.32</v>
      </c>
      <c r="H262" s="41">
        <v>5.85</v>
      </c>
      <c r="I262" s="41">
        <v>10.954599999999999</v>
      </c>
      <c r="J262" s="41">
        <v>7.8639000000000001</v>
      </c>
      <c r="K262" s="41">
        <v>0</v>
      </c>
      <c r="L262" s="41">
        <v>0</v>
      </c>
      <c r="M262" s="41">
        <v>0</v>
      </c>
      <c r="N262" s="41">
        <v>0</v>
      </c>
      <c r="O262" s="42">
        <f>SUM(G262:N262)</f>
        <v>43.988500000000002</v>
      </c>
      <c r="P262" s="42">
        <f>SUMPRODUCT(G262:N262,$G$2:$N$2)*1000/Assumptions!$C$15</f>
        <v>14.762231073313783</v>
      </c>
      <c r="Q262" s="43">
        <f>IF(ISNUMBER(Finder!$G$5),Finder!$D$8*Assumptions!$C$16*2*ASIN(SQRT(SIN(RADIANS(E262-Finder!$G$5)/2)^2+COS(RADIANS(Finder!$G$5))*COS(RADIANS(E262))*SIN(RADIANS(F262-Finder!$G$6)/2)^2)),"")</f>
        <v>1243.1347615605516</v>
      </c>
      <c r="R262" s="39">
        <f>IF(ISNUMBER(Q262),IF(Q262&lt;=Finder!$D$7,1,0),0)</f>
        <v>0</v>
      </c>
      <c r="S262" s="39" t="str">
        <f>IF(R262=1,O262+ROW()*0.000000001,"")</f>
        <v/>
      </c>
      <c r="T262" s="39" t="str">
        <f>IF(O262&gt;0,INDEX(Calc!$B$4:$B$11,MATCH(MAX(G262:N262),G262:N262,0)),"-")</f>
        <v>Paddy Straw</v>
      </c>
    </row>
    <row r="263" spans="1:20">
      <c r="A263" s="39">
        <v>260</v>
      </c>
      <c r="B263" s="39" t="s">
        <v>317</v>
      </c>
      <c r="C263" s="39" t="s">
        <v>330</v>
      </c>
      <c r="D263" s="39" t="str">
        <f>B263&amp;"|"&amp;C263</f>
        <v>Jharkhand|Khunti</v>
      </c>
      <c r="E263" s="40">
        <v>23.07</v>
      </c>
      <c r="F263" s="40">
        <v>85.28</v>
      </c>
      <c r="G263" s="41">
        <v>22.68</v>
      </c>
      <c r="H263" s="41">
        <v>3.6</v>
      </c>
      <c r="I263" s="41">
        <v>14.033300000000001</v>
      </c>
      <c r="J263" s="41">
        <v>8.1744000000000003</v>
      </c>
      <c r="K263" s="41">
        <v>0</v>
      </c>
      <c r="L263" s="41">
        <v>0</v>
      </c>
      <c r="M263" s="41">
        <v>6.7400000000000002E-2</v>
      </c>
      <c r="N263" s="41">
        <v>0</v>
      </c>
      <c r="O263" s="42">
        <f>SUM(G263:N263)</f>
        <v>48.555099999999996</v>
      </c>
      <c r="P263" s="42">
        <f>SUMPRODUCT(G263:N263,$G$2:$N$2)*1000/Assumptions!$C$15</f>
        <v>16.187431480351908</v>
      </c>
      <c r="Q263" s="43">
        <f>IF(ISNUMBER(Finder!$G$5),Finder!$D$8*Assumptions!$C$16*2*ASIN(SQRT(SIN(RADIANS(E263-Finder!$G$5)/2)^2+COS(RADIANS(Finder!$G$5))*COS(RADIANS(E263))*SIN(RADIANS(F263-Finder!$G$6)/2)^2)),"")</f>
        <v>1168.9024896191879</v>
      </c>
      <c r="R263" s="39">
        <f>IF(ISNUMBER(Q263),IF(Q263&lt;=Finder!$D$7,1,0),0)</f>
        <v>0</v>
      </c>
      <c r="S263" s="39" t="str">
        <f>IF(R263=1,O263+ROW()*0.000000001,"")</f>
        <v/>
      </c>
      <c r="T263" s="39" t="str">
        <f>IF(O263&gt;0,INDEX(Calc!$B$4:$B$11,MATCH(MAX(G263:N263),G263:N263,0)),"-")</f>
        <v>Paddy Straw</v>
      </c>
    </row>
    <row r="264" spans="1:20">
      <c r="A264" s="39">
        <v>261</v>
      </c>
      <c r="B264" s="39" t="s">
        <v>317</v>
      </c>
      <c r="C264" s="39" t="s">
        <v>331</v>
      </c>
      <c r="D264" s="39" t="str">
        <f>B264&amp;"|"&amp;C264</f>
        <v>Jharkhand|Koderma</v>
      </c>
      <c r="E264" s="40">
        <v>24.47</v>
      </c>
      <c r="F264" s="40">
        <v>85.6</v>
      </c>
      <c r="G264" s="41">
        <v>5.88</v>
      </c>
      <c r="H264" s="41">
        <v>4.5</v>
      </c>
      <c r="I264" s="41">
        <v>11.9322</v>
      </c>
      <c r="J264" s="41">
        <v>8.8125999999999998</v>
      </c>
      <c r="K264" s="41">
        <v>0</v>
      </c>
      <c r="L264" s="41">
        <v>0</v>
      </c>
      <c r="M264" s="41">
        <v>6.5600000000000006E-2</v>
      </c>
      <c r="N264" s="41">
        <v>0</v>
      </c>
      <c r="O264" s="42">
        <f>SUM(G264:N264)</f>
        <v>31.190399999999997</v>
      </c>
      <c r="P264" s="42">
        <f>SUMPRODUCT(G264:N264,$G$2:$N$2)*1000/Assumptions!$C$15</f>
        <v>9.9282918686217005</v>
      </c>
      <c r="Q264" s="43">
        <f>IF(ISNUMBER(Finder!$G$5),Finder!$D$8*Assumptions!$C$16*2*ASIN(SQRT(SIN(RADIANS(E264-Finder!$G$5)/2)^2+COS(RADIANS(Finder!$G$5))*COS(RADIANS(E264))*SIN(RADIANS(F264-Finder!$G$6)/2)^2)),"")</f>
        <v>1109.4072108342441</v>
      </c>
      <c r="R264" s="39">
        <f>IF(ISNUMBER(Q264),IF(Q264&lt;=Finder!$D$7,1,0),0)</f>
        <v>0</v>
      </c>
      <c r="S264" s="39" t="str">
        <f>IF(R264=1,O264+ROW()*0.000000001,"")</f>
        <v/>
      </c>
      <c r="T264" s="39" t="str">
        <f>IF(O264&gt;0,INDEX(Calc!$B$4:$B$11,MATCH(MAX(G264:N264),G264:N264,0)),"-")</f>
        <v>Maize Stover</v>
      </c>
    </row>
    <row r="265" spans="1:20">
      <c r="A265" s="39">
        <v>262</v>
      </c>
      <c r="B265" s="39" t="s">
        <v>317</v>
      </c>
      <c r="C265" s="39" t="s">
        <v>332</v>
      </c>
      <c r="D265" s="39" t="str">
        <f>B265&amp;"|"&amp;C265</f>
        <v>Jharkhand|Latehar</v>
      </c>
      <c r="E265" s="40">
        <v>23.74</v>
      </c>
      <c r="F265" s="40">
        <v>84.5</v>
      </c>
      <c r="G265" s="41">
        <v>10.5</v>
      </c>
      <c r="H265" s="41">
        <v>4.05</v>
      </c>
      <c r="I265" s="41">
        <v>28.127400000000002</v>
      </c>
      <c r="J265" s="41">
        <v>12.9887</v>
      </c>
      <c r="K265" s="41">
        <v>0</v>
      </c>
      <c r="L265" s="41">
        <v>0</v>
      </c>
      <c r="M265" s="41">
        <v>0</v>
      </c>
      <c r="N265" s="41">
        <v>0</v>
      </c>
      <c r="O265" s="42">
        <f>SUM(G265:N265)</f>
        <v>55.666100000000007</v>
      </c>
      <c r="P265" s="42">
        <f>SUMPRODUCT(G265:N265,$G$2:$N$2)*1000/Assumptions!$C$15</f>
        <v>17.428973424046923</v>
      </c>
      <c r="Q265" s="43">
        <f>IF(ISNUMBER(Finder!$G$5),Finder!$D$8*Assumptions!$C$16*2*ASIN(SQRT(SIN(RADIANS(E265-Finder!$G$5)/2)^2+COS(RADIANS(Finder!$G$5))*COS(RADIANS(E265))*SIN(RADIANS(F265-Finder!$G$6)/2)^2)),"")</f>
        <v>1060.5206891716205</v>
      </c>
      <c r="R265" s="39">
        <f>IF(ISNUMBER(Q265),IF(Q265&lt;=Finder!$D$7,1,0),0)</f>
        <v>0</v>
      </c>
      <c r="S265" s="39" t="str">
        <f>IF(R265=1,O265+ROW()*0.000000001,"")</f>
        <v/>
      </c>
      <c r="T265" s="39" t="str">
        <f>IF(O265&gt;0,INDEX(Calc!$B$4:$B$11,MATCH(MAX(G265:N265),G265:N265,0)),"-")</f>
        <v>Maize Stover</v>
      </c>
    </row>
    <row r="266" spans="1:20">
      <c r="A266" s="39">
        <v>263</v>
      </c>
      <c r="B266" s="39" t="s">
        <v>317</v>
      </c>
      <c r="C266" s="39" t="s">
        <v>333</v>
      </c>
      <c r="D266" s="39" t="str">
        <f>B266&amp;"|"&amp;C266</f>
        <v>Jharkhand|Lohardaga</v>
      </c>
      <c r="E266" s="40">
        <v>23.43</v>
      </c>
      <c r="F266" s="40">
        <v>84.68</v>
      </c>
      <c r="G266" s="41">
        <v>16.38</v>
      </c>
      <c r="H266" s="41">
        <v>2.25</v>
      </c>
      <c r="I266" s="41">
        <v>15.9642</v>
      </c>
      <c r="J266" s="41">
        <v>5.8376999999999999</v>
      </c>
      <c r="K266" s="41">
        <v>0</v>
      </c>
      <c r="L266" s="41">
        <v>0</v>
      </c>
      <c r="M266" s="41">
        <v>0</v>
      </c>
      <c r="N266" s="41">
        <v>0</v>
      </c>
      <c r="O266" s="42">
        <f>SUM(G266:N266)</f>
        <v>40.431899999999999</v>
      </c>
      <c r="P266" s="42">
        <f>SUMPRODUCT(G266:N266,$G$2:$N$2)*1000/Assumptions!$C$15</f>
        <v>13.242628300293255</v>
      </c>
      <c r="Q266" s="43">
        <f>IF(ISNUMBER(Finder!$G$5),Finder!$D$8*Assumptions!$C$16*2*ASIN(SQRT(SIN(RADIANS(E266-Finder!$G$5)/2)^2+COS(RADIANS(Finder!$G$5))*COS(RADIANS(E266))*SIN(RADIANS(F266-Finder!$G$6)/2)^2)),"")</f>
        <v>1095.8885418966092</v>
      </c>
      <c r="R266" s="39">
        <f>IF(ISNUMBER(Q266),IF(Q266&lt;=Finder!$D$7,1,0),0)</f>
        <v>0</v>
      </c>
      <c r="S266" s="39" t="str">
        <f>IF(R266=1,O266+ROW()*0.000000001,"")</f>
        <v/>
      </c>
      <c r="T266" s="39" t="str">
        <f>IF(O266&gt;0,INDEX(Calc!$B$4:$B$11,MATCH(MAX(G266:N266),G266:N266,0)),"-")</f>
        <v>Paddy Straw</v>
      </c>
    </row>
    <row r="267" spans="1:20">
      <c r="A267" s="39">
        <v>264</v>
      </c>
      <c r="B267" s="39" t="s">
        <v>317</v>
      </c>
      <c r="C267" s="39" t="s">
        <v>334</v>
      </c>
      <c r="D267" s="39" t="str">
        <f>B267&amp;"|"&amp;C267</f>
        <v>Jharkhand|Pakur</v>
      </c>
      <c r="E267" s="40">
        <v>24.63</v>
      </c>
      <c r="F267" s="40">
        <v>87.85</v>
      </c>
      <c r="G267" s="41">
        <v>16.38</v>
      </c>
      <c r="H267" s="41">
        <v>3.15</v>
      </c>
      <c r="I267" s="41">
        <v>10.050599999999999</v>
      </c>
      <c r="J267" s="41">
        <v>3.9708000000000001</v>
      </c>
      <c r="K267" s="41">
        <v>0</v>
      </c>
      <c r="L267" s="41">
        <v>0</v>
      </c>
      <c r="M267" s="41">
        <v>4.6399999999999997E-2</v>
      </c>
      <c r="N267" s="41">
        <v>0</v>
      </c>
      <c r="O267" s="42">
        <f>SUM(G267:N267)</f>
        <v>33.597799999999992</v>
      </c>
      <c r="P267" s="42">
        <f>SUMPRODUCT(G267:N267,$G$2:$N$2)*1000/Assumptions!$C$15</f>
        <v>11.298298093841641</v>
      </c>
      <c r="Q267" s="43">
        <f>IF(ISNUMBER(Finder!$G$5),Finder!$D$8*Assumptions!$C$16*2*ASIN(SQRT(SIN(RADIANS(E267-Finder!$G$5)/2)^2+COS(RADIANS(Finder!$G$5))*COS(RADIANS(E267))*SIN(RADIANS(F267-Finder!$G$6)/2)^2)),"")</f>
        <v>1302.7953221603727</v>
      </c>
      <c r="R267" s="39">
        <f>IF(ISNUMBER(Q267),IF(Q267&lt;=Finder!$D$7,1,0),0)</f>
        <v>0</v>
      </c>
      <c r="S267" s="39" t="str">
        <f>IF(R267=1,O267+ROW()*0.000000001,"")</f>
        <v/>
      </c>
      <c r="T267" s="39" t="str">
        <f>IF(O267&gt;0,INDEX(Calc!$B$4:$B$11,MATCH(MAX(G267:N267),G267:N267,0)),"-")</f>
        <v>Paddy Straw</v>
      </c>
    </row>
    <row r="268" spans="1:20">
      <c r="A268" s="39">
        <v>265</v>
      </c>
      <c r="B268" s="39" t="s">
        <v>317</v>
      </c>
      <c r="C268" s="39" t="s">
        <v>335</v>
      </c>
      <c r="D268" s="39" t="str">
        <f>B268&amp;"|"&amp;C268</f>
        <v>Jharkhand|Palamu</v>
      </c>
      <c r="E268" s="40">
        <v>24.03</v>
      </c>
      <c r="F268" s="40">
        <v>84.07</v>
      </c>
      <c r="G268" s="41">
        <v>18.48</v>
      </c>
      <c r="H268" s="41">
        <v>9.4499999999999993</v>
      </c>
      <c r="I268" s="41">
        <v>29.877700000000001</v>
      </c>
      <c r="J268" s="41">
        <v>10.383699999999999</v>
      </c>
      <c r="K268" s="41">
        <v>0</v>
      </c>
      <c r="L268" s="41">
        <v>0</v>
      </c>
      <c r="M268" s="41">
        <v>8.9999999999999998E-4</v>
      </c>
      <c r="N268" s="41">
        <v>0</v>
      </c>
      <c r="O268" s="42">
        <f>SUM(G268:N268)</f>
        <v>68.192300000000003</v>
      </c>
      <c r="P268" s="42">
        <f>SUMPRODUCT(G268:N268,$G$2:$N$2)*1000/Assumptions!$C$15</f>
        <v>22.082316328445746</v>
      </c>
      <c r="Q268" s="43">
        <f>IF(ISNUMBER(Finder!$G$5),Finder!$D$8*Assumptions!$C$16*2*ASIN(SQRT(SIN(RADIANS(E268-Finder!$G$5)/2)^2+COS(RADIANS(Finder!$G$5))*COS(RADIANS(E268))*SIN(RADIANS(F268-Finder!$G$6)/2)^2)),"")</f>
        <v>1006.1959135788163</v>
      </c>
      <c r="R268" s="39">
        <f>IF(ISNUMBER(Q268),IF(Q268&lt;=Finder!$D$7,1,0),0)</f>
        <v>0</v>
      </c>
      <c r="S268" s="39" t="str">
        <f>IF(R268=1,O268+ROW()*0.000000001,"")</f>
        <v/>
      </c>
      <c r="T268" s="39" t="str">
        <f>IF(O268&gt;0,INDEX(Calc!$B$4:$B$11,MATCH(MAX(G268:N268),G268:N268,0)),"-")</f>
        <v>Maize Stover</v>
      </c>
    </row>
    <row r="269" spans="1:20">
      <c r="A269" s="39">
        <v>266</v>
      </c>
      <c r="B269" s="39" t="s">
        <v>317</v>
      </c>
      <c r="C269" s="39" t="s">
        <v>336</v>
      </c>
      <c r="D269" s="39" t="str">
        <f>B269&amp;"|"&amp;C269</f>
        <v>Jharkhand|Ramgarh</v>
      </c>
      <c r="E269" s="40">
        <v>23.63</v>
      </c>
      <c r="F269" s="40">
        <v>85.52</v>
      </c>
      <c r="G269" s="41">
        <v>12.6</v>
      </c>
      <c r="H269" s="41">
        <v>2.7</v>
      </c>
      <c r="I269" s="41">
        <v>24.349499999999999</v>
      </c>
      <c r="J269" s="41">
        <v>4.9973999999999998</v>
      </c>
      <c r="K269" s="41">
        <v>0</v>
      </c>
      <c r="L269" s="41">
        <v>0</v>
      </c>
      <c r="M269" s="41">
        <v>0</v>
      </c>
      <c r="N269" s="41">
        <v>0</v>
      </c>
      <c r="O269" s="42">
        <f>SUM(G269:N269)</f>
        <v>44.646900000000002</v>
      </c>
      <c r="P269" s="42">
        <f>SUMPRODUCT(G269:N269,$G$2:$N$2)*1000/Assumptions!$C$15</f>
        <v>14.241604458651025</v>
      </c>
      <c r="Q269" s="43">
        <f>IF(ISNUMBER(Finder!$G$5),Finder!$D$8*Assumptions!$C$16*2*ASIN(SQRT(SIN(RADIANS(E269-Finder!$G$5)/2)^2+COS(RADIANS(Finder!$G$5))*COS(RADIANS(E269))*SIN(RADIANS(F269-Finder!$G$6)/2)^2)),"")</f>
        <v>1152.3339018067991</v>
      </c>
      <c r="R269" s="39">
        <f>IF(ISNUMBER(Q269),IF(Q269&lt;=Finder!$D$7,1,0),0)</f>
        <v>0</v>
      </c>
      <c r="S269" s="39" t="str">
        <f>IF(R269=1,O269+ROW()*0.000000001,"")</f>
        <v/>
      </c>
      <c r="T269" s="39" t="str">
        <f>IF(O269&gt;0,INDEX(Calc!$B$4:$B$11,MATCH(MAX(G269:N269),G269:N269,0)),"-")</f>
        <v>Maize Stover</v>
      </c>
    </row>
    <row r="270" spans="1:20">
      <c r="A270" s="39">
        <v>267</v>
      </c>
      <c r="B270" s="39" t="s">
        <v>317</v>
      </c>
      <c r="C270" s="39" t="s">
        <v>337</v>
      </c>
      <c r="D270" s="39" t="str">
        <f>B270&amp;"|"&amp;C270</f>
        <v>Jharkhand|Ranchi</v>
      </c>
      <c r="E270" s="40">
        <v>23.34</v>
      </c>
      <c r="F270" s="40">
        <v>85.31</v>
      </c>
      <c r="G270" s="41">
        <v>57.12</v>
      </c>
      <c r="H270" s="41">
        <v>8.5500000000000007</v>
      </c>
      <c r="I270" s="41">
        <v>30.145499999999998</v>
      </c>
      <c r="J270" s="41">
        <v>14.4544</v>
      </c>
      <c r="K270" s="41">
        <v>0</v>
      </c>
      <c r="L270" s="41">
        <v>0</v>
      </c>
      <c r="M270" s="41">
        <v>8.5800000000000001E-2</v>
      </c>
      <c r="N270" s="41">
        <v>0</v>
      </c>
      <c r="O270" s="42">
        <f>SUM(G270:N270)</f>
        <v>110.35570000000001</v>
      </c>
      <c r="P270" s="42">
        <f>SUMPRODUCT(G270:N270,$G$2:$N$2)*1000/Assumptions!$C$15</f>
        <v>37.219192098533718</v>
      </c>
      <c r="Q270" s="43">
        <f>IF(ISNUMBER(Finder!$G$5),Finder!$D$8*Assumptions!$C$16*2*ASIN(SQRT(SIN(RADIANS(E270-Finder!$G$5)/2)^2+COS(RADIANS(Finder!$G$5))*COS(RADIANS(E270))*SIN(RADIANS(F270-Finder!$G$6)/2)^2)),"")</f>
        <v>1153.4095320153567</v>
      </c>
      <c r="R270" s="39">
        <f>IF(ISNUMBER(Q270),IF(Q270&lt;=Finder!$D$7,1,0),0)</f>
        <v>0</v>
      </c>
      <c r="S270" s="39" t="str">
        <f>IF(R270=1,O270+ROW()*0.000000001,"")</f>
        <v/>
      </c>
      <c r="T270" s="39" t="str">
        <f>IF(O270&gt;0,INDEX(Calc!$B$4:$B$11,MATCH(MAX(G270:N270),G270:N270,0)),"-")</f>
        <v>Paddy Straw</v>
      </c>
    </row>
    <row r="271" spans="1:20">
      <c r="A271" s="39">
        <v>268</v>
      </c>
      <c r="B271" s="39" t="s">
        <v>317</v>
      </c>
      <c r="C271" s="39" t="s">
        <v>338</v>
      </c>
      <c r="D271" s="39" t="str">
        <f>B271&amp;"|"&amp;C271</f>
        <v>Jharkhand|Sahebganj</v>
      </c>
      <c r="E271" s="40">
        <v>25.24</v>
      </c>
      <c r="F271" s="40">
        <v>87.63</v>
      </c>
      <c r="G271" s="41">
        <v>16.38</v>
      </c>
      <c r="H271" s="41">
        <v>5.85</v>
      </c>
      <c r="I271" s="41">
        <v>10.8497</v>
      </c>
      <c r="J271" s="41">
        <v>9.5230999999999995</v>
      </c>
      <c r="K271" s="41">
        <v>0</v>
      </c>
      <c r="L271" s="41">
        <v>0</v>
      </c>
      <c r="M271" s="41">
        <v>0</v>
      </c>
      <c r="N271" s="41">
        <v>0</v>
      </c>
      <c r="O271" s="42">
        <f>SUM(G271:N271)</f>
        <v>42.602799999999995</v>
      </c>
      <c r="P271" s="42">
        <f>SUMPRODUCT(G271:N271,$G$2:$N$2)*1000/Assumptions!$C$15</f>
        <v>14.141808371847507</v>
      </c>
      <c r="Q271" s="43">
        <f>IF(ISNUMBER(Finder!$G$5),Finder!$D$8*Assumptions!$C$16*2*ASIN(SQRT(SIN(RADIANS(E271-Finder!$G$5)/2)^2+COS(RADIANS(Finder!$G$5))*COS(RADIANS(E271))*SIN(RADIANS(F271-Finder!$G$6)/2)^2)),"")</f>
        <v>1254.8087258277594</v>
      </c>
      <c r="R271" s="39">
        <f>IF(ISNUMBER(Q271),IF(Q271&lt;=Finder!$D$7,1,0),0)</f>
        <v>0</v>
      </c>
      <c r="S271" s="39" t="str">
        <f>IF(R271=1,O271+ROW()*0.000000001,"")</f>
        <v/>
      </c>
      <c r="T271" s="39" t="str">
        <f>IF(O271&gt;0,INDEX(Calc!$B$4:$B$11,MATCH(MAX(G271:N271),G271:N271,0)),"-")</f>
        <v>Paddy Straw</v>
      </c>
    </row>
    <row r="272" spans="1:20">
      <c r="A272" s="39">
        <v>269</v>
      </c>
      <c r="B272" s="39" t="s">
        <v>317</v>
      </c>
      <c r="C272" s="39" t="s">
        <v>339</v>
      </c>
      <c r="D272" s="39" t="str">
        <f>B272&amp;"|"&amp;C272</f>
        <v>Jharkhand|Saraikela Kharsawan</v>
      </c>
      <c r="E272" s="40">
        <v>22.7</v>
      </c>
      <c r="F272" s="40">
        <v>85.93</v>
      </c>
      <c r="G272" s="41">
        <v>32.76</v>
      </c>
      <c r="H272" s="41">
        <v>2.25</v>
      </c>
      <c r="I272" s="41">
        <v>14.029</v>
      </c>
      <c r="J272" s="41">
        <v>15.8025</v>
      </c>
      <c r="K272" s="41">
        <v>0</v>
      </c>
      <c r="L272" s="41">
        <v>0</v>
      </c>
      <c r="M272" s="41">
        <v>0.1295</v>
      </c>
      <c r="N272" s="41">
        <v>0</v>
      </c>
      <c r="O272" s="42">
        <f>SUM(G272:N272)</f>
        <v>64.970999999999989</v>
      </c>
      <c r="P272" s="42">
        <f>SUMPRODUCT(G272:N272,$G$2:$N$2)*1000/Assumptions!$C$15</f>
        <v>21.649843935483869</v>
      </c>
      <c r="Q272" s="43">
        <f>IF(ISNUMBER(Finder!$G$5),Finder!$D$8*Assumptions!$C$16*2*ASIN(SQRT(SIN(RADIANS(E272-Finder!$G$5)/2)^2+COS(RADIANS(Finder!$G$5))*COS(RADIANS(E272))*SIN(RADIANS(F272-Finder!$G$6)/2)^2)),"")</f>
        <v>1246.8040823069805</v>
      </c>
      <c r="R272" s="39">
        <f>IF(ISNUMBER(Q272),IF(Q272&lt;=Finder!$D$7,1,0),0)</f>
        <v>0</v>
      </c>
      <c r="S272" s="39" t="str">
        <f>IF(R272=1,O272+ROW()*0.000000001,"")</f>
        <v/>
      </c>
      <c r="T272" s="39" t="str">
        <f>IF(O272&gt;0,INDEX(Calc!$B$4:$B$11,MATCH(MAX(G272:N272),G272:N272,0)),"-")</f>
        <v>Paddy Straw</v>
      </c>
    </row>
    <row r="273" spans="1:20">
      <c r="A273" s="39">
        <v>270</v>
      </c>
      <c r="B273" s="39" t="s">
        <v>317</v>
      </c>
      <c r="C273" s="39" t="s">
        <v>340</v>
      </c>
      <c r="D273" s="39" t="str">
        <f>B273&amp;"|"&amp;C273</f>
        <v>Jharkhand|Simdega</v>
      </c>
      <c r="E273" s="40">
        <v>22.61</v>
      </c>
      <c r="F273" s="40">
        <v>84.5</v>
      </c>
      <c r="G273" s="41">
        <v>30.66</v>
      </c>
      <c r="H273" s="41">
        <v>4.05</v>
      </c>
      <c r="I273" s="41">
        <v>16.157399999999999</v>
      </c>
      <c r="J273" s="41">
        <v>5.4794</v>
      </c>
      <c r="K273" s="41">
        <v>0</v>
      </c>
      <c r="L273" s="41">
        <v>0</v>
      </c>
      <c r="M273" s="41">
        <v>1.3100000000000001E-2</v>
      </c>
      <c r="N273" s="41">
        <v>0</v>
      </c>
      <c r="O273" s="42">
        <f>SUM(G273:N273)</f>
        <v>56.359900000000003</v>
      </c>
      <c r="P273" s="42">
        <f>SUMPRODUCT(G273:N273,$G$2:$N$2)*1000/Assumptions!$C$15</f>
        <v>19.0923880914956</v>
      </c>
      <c r="Q273" s="43">
        <f>IF(ISNUMBER(Finder!$G$5),Finder!$D$8*Assumptions!$C$16*2*ASIN(SQRT(SIN(RADIANS(E273-Finder!$G$5)/2)^2+COS(RADIANS(Finder!$G$5))*COS(RADIANS(E273))*SIN(RADIANS(F273-Finder!$G$6)/2)^2)),"")</f>
        <v>1139.5932897554994</v>
      </c>
      <c r="R273" s="39">
        <f>IF(ISNUMBER(Q273),IF(Q273&lt;=Finder!$D$7,1,0),0)</f>
        <v>0</v>
      </c>
      <c r="S273" s="39" t="str">
        <f>IF(R273=1,O273+ROW()*0.000000001,"")</f>
        <v/>
      </c>
      <c r="T273" s="39" t="str">
        <f>IF(O273&gt;0,INDEX(Calc!$B$4:$B$11,MATCH(MAX(G273:N273),G273:N273,0)),"-")</f>
        <v>Paddy Straw</v>
      </c>
    </row>
    <row r="274" spans="1:20">
      <c r="A274" s="39">
        <v>271</v>
      </c>
      <c r="B274" s="39" t="s">
        <v>317</v>
      </c>
      <c r="C274" s="39" t="s">
        <v>341</v>
      </c>
      <c r="D274" s="39" t="str">
        <f>B274&amp;"|"&amp;C274</f>
        <v>Jharkhand|West Singhbhum</v>
      </c>
      <c r="E274" s="40">
        <v>22.55</v>
      </c>
      <c r="F274" s="40">
        <v>85.81</v>
      </c>
      <c r="G274" s="41">
        <v>63.42</v>
      </c>
      <c r="H274" s="41">
        <v>2.25</v>
      </c>
      <c r="I274" s="41">
        <v>12.169499999999999</v>
      </c>
      <c r="J274" s="41">
        <v>4.2911999999999999</v>
      </c>
      <c r="K274" s="41">
        <v>0</v>
      </c>
      <c r="L274" s="41">
        <v>0</v>
      </c>
      <c r="M274" s="41">
        <v>0.15570000000000001</v>
      </c>
      <c r="N274" s="41">
        <v>0</v>
      </c>
      <c r="O274" s="42">
        <f>SUM(G274:N274)</f>
        <v>82.2864</v>
      </c>
      <c r="P274" s="42">
        <f>SUMPRODUCT(G274:N274,$G$2:$N$2)*1000/Assumptions!$C$15</f>
        <v>28.963224721407624</v>
      </c>
      <c r="Q274" s="43">
        <f>IF(ISNUMBER(Finder!$G$5),Finder!$D$8*Assumptions!$C$16*2*ASIN(SQRT(SIN(RADIANS(E274-Finder!$G$5)/2)^2+COS(RADIANS(Finder!$G$5))*COS(RADIANS(E274))*SIN(RADIANS(F274-Finder!$G$6)/2)^2)),"")</f>
        <v>1247.25392718134</v>
      </c>
      <c r="R274" s="39">
        <f>IF(ISNUMBER(Q274),IF(Q274&lt;=Finder!$D$7,1,0),0)</f>
        <v>0</v>
      </c>
      <c r="S274" s="39" t="str">
        <f>IF(R274=1,O274+ROW()*0.000000001,"")</f>
        <v/>
      </c>
      <c r="T274" s="39" t="str">
        <f>IF(O274&gt;0,INDEX(Calc!$B$4:$B$11,MATCH(MAX(G274:N274),G274:N274,0)),"-")</f>
        <v>Paddy Straw</v>
      </c>
    </row>
    <row r="275" spans="1:20">
      <c r="A275" s="39">
        <v>272</v>
      </c>
      <c r="B275" s="39" t="s">
        <v>342</v>
      </c>
      <c r="C275" s="39" t="s">
        <v>343</v>
      </c>
      <c r="D275" s="39" t="str">
        <f>B275&amp;"|"&amp;C275</f>
        <v>Karnataka|Bagalkote</v>
      </c>
      <c r="E275" s="40">
        <v>16.18</v>
      </c>
      <c r="F275" s="40">
        <v>75.7</v>
      </c>
      <c r="G275" s="41">
        <v>0</v>
      </c>
      <c r="H275" s="41">
        <v>16.649999999999999</v>
      </c>
      <c r="I275" s="41">
        <v>356.20929999999998</v>
      </c>
      <c r="J275" s="41">
        <v>0</v>
      </c>
      <c r="K275" s="41">
        <v>1628.4888000000001</v>
      </c>
      <c r="L275" s="41">
        <v>189.99039999999999</v>
      </c>
      <c r="M275" s="41">
        <v>2.7772000000000001</v>
      </c>
      <c r="N275" s="41">
        <v>0</v>
      </c>
      <c r="O275" s="42">
        <f>SUM(G275:N275)</f>
        <v>2194.1157000000003</v>
      </c>
      <c r="P275" s="42">
        <f>SUMPRODUCT(G275:N275,$G$2:$N$2)*1000/Assumptions!$C$15</f>
        <v>643.52225826392964</v>
      </c>
      <c r="Q275" s="43">
        <f>IF(ISNUMBER(Finder!$G$5),Finder!$D$8*Assumptions!$C$16*2*ASIN(SQRT(SIN(RADIANS(E275-Finder!$G$5)/2)^2+COS(RADIANS(Finder!$G$5))*COS(RADIANS(E275))*SIN(RADIANS(F275-Finder!$G$6)/2)^2)),"")</f>
        <v>1442.1996491054767</v>
      </c>
      <c r="R275" s="39">
        <f>IF(ISNUMBER(Q275),IF(Q275&lt;=Finder!$D$7,1,0),0)</f>
        <v>0</v>
      </c>
      <c r="S275" s="39" t="str">
        <f>IF(R275=1,O275+ROW()*0.000000001,"")</f>
        <v/>
      </c>
      <c r="T275" s="39" t="str">
        <f>IF(O275&gt;0,INDEX(Calc!$B$4:$B$11,MATCH(MAX(G275:N275),G275:N275,0)),"-")</f>
        <v>Cane Trash</v>
      </c>
    </row>
    <row r="276" spans="1:20">
      <c r="A276" s="39">
        <v>273</v>
      </c>
      <c r="B276" s="39" t="s">
        <v>342</v>
      </c>
      <c r="C276" s="39" t="s">
        <v>344</v>
      </c>
      <c r="D276" s="39" t="str">
        <f>B276&amp;"|"&amp;C276</f>
        <v>Karnataka|Ballari</v>
      </c>
      <c r="E276" s="40">
        <v>15.14</v>
      </c>
      <c r="F276" s="40">
        <v>76.92</v>
      </c>
      <c r="G276" s="41">
        <v>57.54</v>
      </c>
      <c r="H276" s="41">
        <v>0</v>
      </c>
      <c r="I276" s="41">
        <v>118.31399999999999</v>
      </c>
      <c r="J276" s="41">
        <v>0</v>
      </c>
      <c r="K276" s="41">
        <v>17.892199999999999</v>
      </c>
      <c r="L276" s="41">
        <v>2.0874000000000001</v>
      </c>
      <c r="M276" s="41">
        <v>0.16450000000000001</v>
      </c>
      <c r="N276" s="41">
        <v>0</v>
      </c>
      <c r="O276" s="42">
        <f>SUM(G276:N276)</f>
        <v>195.99809999999999</v>
      </c>
      <c r="P276" s="42">
        <f>SUMPRODUCT(G276:N276,$G$2:$N$2)*1000/Assumptions!$C$15</f>
        <v>61.791658912023458</v>
      </c>
      <c r="Q276" s="43">
        <f>IF(ISNUMBER(Finder!$G$5),Finder!$D$8*Assumptions!$C$16*2*ASIN(SQRT(SIN(RADIANS(E276-Finder!$G$5)/2)^2+COS(RADIANS(Finder!$G$5))*COS(RADIANS(E276))*SIN(RADIANS(F276-Finder!$G$6)/2)^2)),"")</f>
        <v>1562.699195217293</v>
      </c>
      <c r="R276" s="39">
        <f>IF(ISNUMBER(Q276),IF(Q276&lt;=Finder!$D$7,1,0),0)</f>
        <v>0</v>
      </c>
      <c r="S276" s="39" t="str">
        <f>IF(R276=1,O276+ROW()*0.000000001,"")</f>
        <v/>
      </c>
      <c r="T276" s="39" t="str">
        <f>IF(O276&gt;0,INDEX(Calc!$B$4:$B$11,MATCH(MAX(G276:N276),G276:N276,0)),"-")</f>
        <v>Maize Stover</v>
      </c>
    </row>
    <row r="277" spans="1:20">
      <c r="A277" s="39">
        <v>274</v>
      </c>
      <c r="B277" s="39" t="s">
        <v>342</v>
      </c>
      <c r="C277" s="39" t="s">
        <v>345</v>
      </c>
      <c r="D277" s="39" t="str">
        <f>B277&amp;"|"&amp;C277</f>
        <v>Karnataka|Belagavi</v>
      </c>
      <c r="E277" s="40">
        <v>15.85</v>
      </c>
      <c r="F277" s="40">
        <v>74.5</v>
      </c>
      <c r="G277" s="41">
        <v>22.68</v>
      </c>
      <c r="H277" s="41">
        <v>23.4</v>
      </c>
      <c r="I277" s="41">
        <v>786.93299999999999</v>
      </c>
      <c r="J277" s="41">
        <v>1.5299999999999999E-2</v>
      </c>
      <c r="K277" s="41">
        <v>4812.2484999999997</v>
      </c>
      <c r="L277" s="41">
        <v>561.42899999999997</v>
      </c>
      <c r="M277" s="41">
        <v>85.599500000000006</v>
      </c>
      <c r="N277" s="41">
        <v>0</v>
      </c>
      <c r="O277" s="42">
        <f>SUM(G277:N277)</f>
        <v>6292.3053</v>
      </c>
      <c r="P277" s="42">
        <f>SUMPRODUCT(G277:N277,$G$2:$N$2)*1000/Assumptions!$C$15</f>
        <v>1846.7756190375367</v>
      </c>
      <c r="Q277" s="43">
        <f>IF(ISNUMBER(Finder!$G$5),Finder!$D$8*Assumptions!$C$16*2*ASIN(SQRT(SIN(RADIANS(E277-Finder!$G$5)/2)^2+COS(RADIANS(Finder!$G$5))*COS(RADIANS(E277))*SIN(RADIANS(F277-Finder!$G$6)/2)^2)),"")</f>
        <v>1484.1576476474761</v>
      </c>
      <c r="R277" s="39">
        <f>IF(ISNUMBER(Q277),IF(Q277&lt;=Finder!$D$7,1,0),0)</f>
        <v>0</v>
      </c>
      <c r="S277" s="39" t="str">
        <f>IF(R277=1,O277+ROW()*0.000000001,"")</f>
        <v/>
      </c>
      <c r="T277" s="39" t="str">
        <f>IF(O277&gt;0,INDEX(Calc!$B$4:$B$11,MATCH(MAX(G277:N277),G277:N277,0)),"-")</f>
        <v>Cane Trash</v>
      </c>
    </row>
    <row r="278" spans="1:20">
      <c r="A278" s="39">
        <v>275</v>
      </c>
      <c r="B278" s="39" t="s">
        <v>342</v>
      </c>
      <c r="C278" s="39" t="s">
        <v>346</v>
      </c>
      <c r="D278" s="39" t="str">
        <f>B278&amp;"|"&amp;C278</f>
        <v>Karnataka|Bengaluru Rural</v>
      </c>
      <c r="E278" s="40">
        <v>13.29</v>
      </c>
      <c r="F278" s="40">
        <v>77.540000000000006</v>
      </c>
      <c r="G278" s="41">
        <v>0</v>
      </c>
      <c r="H278" s="41">
        <v>0</v>
      </c>
      <c r="I278" s="41">
        <v>20.4529</v>
      </c>
      <c r="J278" s="41">
        <v>1E-4</v>
      </c>
      <c r="K278" s="41">
        <v>2.6036999999999999</v>
      </c>
      <c r="L278" s="41">
        <v>0.30380000000000001</v>
      </c>
      <c r="M278" s="41">
        <v>4.4000000000000003E-3</v>
      </c>
      <c r="N278" s="41">
        <v>0</v>
      </c>
      <c r="O278" s="42">
        <f>SUM(G278:N278)</f>
        <v>23.364899999999999</v>
      </c>
      <c r="P278" s="42">
        <f>SUMPRODUCT(G278:N278,$G$2:$N$2)*1000/Assumptions!$C$15</f>
        <v>6.8684827032258049</v>
      </c>
      <c r="Q278" s="43">
        <f>IF(ISNUMBER(Finder!$G$5),Finder!$D$8*Assumptions!$C$16*2*ASIN(SQRT(SIN(RADIANS(E278-Finder!$G$5)/2)^2+COS(RADIANS(Finder!$G$5))*COS(RADIANS(E278))*SIN(RADIANS(F278-Finder!$G$6)/2)^2)),"")</f>
        <v>1773.5198584111647</v>
      </c>
      <c r="R278" s="39">
        <f>IF(ISNUMBER(Q278),IF(Q278&lt;=Finder!$D$7,1,0),0)</f>
        <v>0</v>
      </c>
      <c r="S278" s="39" t="str">
        <f>IF(R278=1,O278+ROW()*0.000000001,"")</f>
        <v/>
      </c>
      <c r="T278" s="39" t="str">
        <f>IF(O278&gt;0,INDEX(Calc!$B$4:$B$11,MATCH(MAX(G278:N278),G278:N278,0)),"-")</f>
        <v>Maize Stover</v>
      </c>
    </row>
    <row r="279" spans="1:20">
      <c r="A279" s="39">
        <v>276</v>
      </c>
      <c r="B279" s="39" t="s">
        <v>342</v>
      </c>
      <c r="C279" s="39" t="s">
        <v>347</v>
      </c>
      <c r="D279" s="39" t="str">
        <f>B279&amp;"|"&amp;C279</f>
        <v>Karnataka|Bengaluru South</v>
      </c>
      <c r="E279" s="40">
        <v>12.72</v>
      </c>
      <c r="F279" s="40">
        <v>77.28</v>
      </c>
      <c r="G279" s="41">
        <v>1.26</v>
      </c>
      <c r="H279" s="41">
        <v>0</v>
      </c>
      <c r="I279" s="41">
        <v>15.781499999999999</v>
      </c>
      <c r="J279" s="41">
        <v>5.9999999999999995E-4</v>
      </c>
      <c r="K279" s="41">
        <v>2.2664</v>
      </c>
      <c r="L279" s="41">
        <v>0.26440000000000002</v>
      </c>
      <c r="M279" s="41">
        <v>1.8E-3</v>
      </c>
      <c r="N279" s="41">
        <v>0</v>
      </c>
      <c r="O279" s="42">
        <f>SUM(G279:N279)</f>
        <v>19.574699999999996</v>
      </c>
      <c r="P279" s="42">
        <f>SUMPRODUCT(G279:N279,$G$2:$N$2)*1000/Assumptions!$C$15</f>
        <v>5.845281564809385</v>
      </c>
      <c r="Q279" s="43">
        <f>IF(ISNUMBER(Finder!$G$5),Finder!$D$8*Assumptions!$C$16*2*ASIN(SQRT(SIN(RADIANS(E279-Finder!$G$5)/2)^2+COS(RADIANS(Finder!$G$5))*COS(RADIANS(E279))*SIN(RADIANS(F279-Finder!$G$6)/2)^2)),"")</f>
        <v>1834.0314306949397</v>
      </c>
      <c r="R279" s="39">
        <f>IF(ISNUMBER(Q279),IF(Q279&lt;=Finder!$D$7,1,0),0)</f>
        <v>0</v>
      </c>
      <c r="S279" s="39" t="str">
        <f>IF(R279=1,O279+ROW()*0.000000001,"")</f>
        <v/>
      </c>
      <c r="T279" s="39" t="str">
        <f>IF(O279&gt;0,INDEX(Calc!$B$4:$B$11,MATCH(MAX(G279:N279),G279:N279,0)),"-")</f>
        <v>Maize Stover</v>
      </c>
    </row>
    <row r="280" spans="1:20">
      <c r="A280" s="39">
        <v>277</v>
      </c>
      <c r="B280" s="39" t="s">
        <v>342</v>
      </c>
      <c r="C280" s="39" t="s">
        <v>348</v>
      </c>
      <c r="D280" s="39" t="str">
        <f>B280&amp;"|"&amp;C280</f>
        <v>Karnataka|Bengaluru Urban</v>
      </c>
      <c r="E280" s="40">
        <v>12.97</v>
      </c>
      <c r="F280" s="40">
        <v>77.59</v>
      </c>
      <c r="G280" s="41">
        <v>0</v>
      </c>
      <c r="H280" s="41">
        <v>0</v>
      </c>
      <c r="I280" s="41">
        <v>4.1421999999999999</v>
      </c>
      <c r="J280" s="41">
        <v>1E-4</v>
      </c>
      <c r="K280" s="41">
        <v>0.42859999999999998</v>
      </c>
      <c r="L280" s="41">
        <v>0.05</v>
      </c>
      <c r="M280" s="41">
        <v>2.5999999999999999E-3</v>
      </c>
      <c r="N280" s="41">
        <v>0</v>
      </c>
      <c r="O280" s="42">
        <f>SUM(G280:N280)</f>
        <v>4.6234999999999999</v>
      </c>
      <c r="P280" s="42">
        <f>SUMPRODUCT(G280:N280,$G$2:$N$2)*1000/Assumptions!$C$15</f>
        <v>1.3593611190615837</v>
      </c>
      <c r="Q280" s="43">
        <f>IF(ISNUMBER(Finder!$G$5),Finder!$D$8*Assumptions!$C$16*2*ASIN(SQRT(SIN(RADIANS(E280-Finder!$G$5)/2)^2+COS(RADIANS(Finder!$G$5))*COS(RADIANS(E280))*SIN(RADIANS(F280-Finder!$G$6)/2)^2)),"")</f>
        <v>1809.4677167063962</v>
      </c>
      <c r="R280" s="39">
        <f>IF(ISNUMBER(Q280),IF(Q280&lt;=Finder!$D$7,1,0),0)</f>
        <v>0</v>
      </c>
      <c r="S280" s="39" t="str">
        <f>IF(R280=1,O280+ROW()*0.000000001,"")</f>
        <v/>
      </c>
      <c r="T280" s="39" t="str">
        <f>IF(O280&gt;0,INDEX(Calc!$B$4:$B$11,MATCH(MAX(G280:N280),G280:N280,0)),"-")</f>
        <v>Maize Stover</v>
      </c>
    </row>
    <row r="281" spans="1:20">
      <c r="A281" s="39">
        <v>278</v>
      </c>
      <c r="B281" s="39" t="s">
        <v>342</v>
      </c>
      <c r="C281" s="39" t="s">
        <v>349</v>
      </c>
      <c r="D281" s="39" t="str">
        <f>B281&amp;"|"&amp;C281</f>
        <v>Karnataka|Bidar</v>
      </c>
      <c r="E281" s="40">
        <v>17.91</v>
      </c>
      <c r="F281" s="40">
        <v>77.52</v>
      </c>
      <c r="G281" s="41">
        <v>0.42</v>
      </c>
      <c r="H281" s="41">
        <v>4.05</v>
      </c>
      <c r="I281" s="41">
        <v>2.7216</v>
      </c>
      <c r="J281" s="41">
        <v>0</v>
      </c>
      <c r="K281" s="41">
        <v>199.42330000000001</v>
      </c>
      <c r="L281" s="41">
        <v>23.265999999999998</v>
      </c>
      <c r="M281" s="41">
        <v>291.04419999999999</v>
      </c>
      <c r="N281" s="41">
        <v>0</v>
      </c>
      <c r="O281" s="42">
        <f>SUM(G281:N281)</f>
        <v>520.92509999999993</v>
      </c>
      <c r="P281" s="42">
        <f>SUMPRODUCT(G281:N281,$G$2:$N$2)*1000/Assumptions!$C$15</f>
        <v>159.46550945923752</v>
      </c>
      <c r="Q281" s="43">
        <f>IF(ISNUMBER(Finder!$G$5),Finder!$D$8*Assumptions!$C$16*2*ASIN(SQRT(SIN(RADIANS(E281-Finder!$G$5)/2)^2+COS(RADIANS(Finder!$G$5))*COS(RADIANS(E281))*SIN(RADIANS(F281-Finder!$G$6)/2)^2)),"")</f>
        <v>1263.1637723426365</v>
      </c>
      <c r="R281" s="39">
        <f>IF(ISNUMBER(Q281),IF(Q281&lt;=Finder!$D$7,1,0),0)</f>
        <v>0</v>
      </c>
      <c r="S281" s="39" t="str">
        <f>IF(R281=1,O281+ROW()*0.000000001,"")</f>
        <v/>
      </c>
      <c r="T281" s="39" t="str">
        <f>IF(O281&gt;0,INDEX(Calc!$B$4:$B$11,MATCH(MAX(G281:N281),G281:N281,0)),"-")</f>
        <v>Soya Trash</v>
      </c>
    </row>
    <row r="282" spans="1:20">
      <c r="A282" s="39">
        <v>279</v>
      </c>
      <c r="B282" s="39" t="s">
        <v>342</v>
      </c>
      <c r="C282" s="39" t="s">
        <v>350</v>
      </c>
      <c r="D282" s="39" t="str">
        <f>B282&amp;"|"&amp;C282</f>
        <v>Karnataka|Chamarajanagar</v>
      </c>
      <c r="E282" s="40">
        <v>11.92</v>
      </c>
      <c r="F282" s="40">
        <v>76.94</v>
      </c>
      <c r="G282" s="41">
        <v>5.04</v>
      </c>
      <c r="H282" s="41">
        <v>0</v>
      </c>
      <c r="I282" s="41">
        <v>176.1018</v>
      </c>
      <c r="J282" s="41">
        <v>2.0000000000000001E-4</v>
      </c>
      <c r="K282" s="41">
        <v>128.74029999999999</v>
      </c>
      <c r="L282" s="41">
        <v>15.0197</v>
      </c>
      <c r="M282" s="41">
        <v>9.7100000000000006E-2</v>
      </c>
      <c r="N282" s="41">
        <v>0</v>
      </c>
      <c r="O282" s="42">
        <f>SUM(G282:N282)</f>
        <v>324.9991</v>
      </c>
      <c r="P282" s="42">
        <f>SUMPRODUCT(G282:N282,$G$2:$N$2)*1000/Assumptions!$C$15</f>
        <v>95.721781263049863</v>
      </c>
      <c r="Q282" s="43">
        <f>IF(ISNUMBER(Finder!$G$5),Finder!$D$8*Assumptions!$C$16*2*ASIN(SQRT(SIN(RADIANS(E282-Finder!$G$5)/2)^2+COS(RADIANS(Finder!$G$5))*COS(RADIANS(E282))*SIN(RADIANS(F282-Finder!$G$6)/2)^2)),"")</f>
        <v>1920.0505786952917</v>
      </c>
      <c r="R282" s="39">
        <f>IF(ISNUMBER(Q282),IF(Q282&lt;=Finder!$D$7,1,0),0)</f>
        <v>0</v>
      </c>
      <c r="S282" s="39" t="str">
        <f>IF(R282=1,O282+ROW()*0.000000001,"")</f>
        <v/>
      </c>
      <c r="T282" s="39" t="str">
        <f>IF(O282&gt;0,INDEX(Calc!$B$4:$B$11,MATCH(MAX(G282:N282),G282:N282,0)),"-")</f>
        <v>Maize Stover</v>
      </c>
    </row>
    <row r="283" spans="1:20">
      <c r="A283" s="39">
        <v>280</v>
      </c>
      <c r="B283" s="39" t="s">
        <v>342</v>
      </c>
      <c r="C283" s="39" t="s">
        <v>351</v>
      </c>
      <c r="D283" s="39" t="str">
        <f>B283&amp;"|"&amp;C283</f>
        <v>Karnataka|Chikkaballapura</v>
      </c>
      <c r="E283" s="40">
        <v>13.43</v>
      </c>
      <c r="F283" s="40">
        <v>77.73</v>
      </c>
      <c r="G283" s="41">
        <v>0.84</v>
      </c>
      <c r="H283" s="41">
        <v>0</v>
      </c>
      <c r="I283" s="41">
        <v>176.1763</v>
      </c>
      <c r="J283" s="41">
        <v>1E-4</v>
      </c>
      <c r="K283" s="41">
        <v>1.3494999999999999</v>
      </c>
      <c r="L283" s="41">
        <v>0.15740000000000001</v>
      </c>
      <c r="M283" s="41">
        <v>8.8000000000000005E-3</v>
      </c>
      <c r="N283" s="41">
        <v>0</v>
      </c>
      <c r="O283" s="42">
        <f>SUM(G283:N283)</f>
        <v>178.53210000000001</v>
      </c>
      <c r="P283" s="42">
        <f>SUMPRODUCT(G283:N283,$G$2:$N$2)*1000/Assumptions!$C$15</f>
        <v>52.579226609384172</v>
      </c>
      <c r="Q283" s="43">
        <f>IF(ISNUMBER(Finder!$G$5),Finder!$D$8*Assumptions!$C$16*2*ASIN(SQRT(SIN(RADIANS(E283-Finder!$G$5)/2)^2+COS(RADIANS(Finder!$G$5))*COS(RADIANS(E283))*SIN(RADIANS(F283-Finder!$G$6)/2)^2)),"")</f>
        <v>1760.2325990124511</v>
      </c>
      <c r="R283" s="39">
        <f>IF(ISNUMBER(Q283),IF(Q283&lt;=Finder!$D$7,1,0),0)</f>
        <v>0</v>
      </c>
      <c r="S283" s="39" t="str">
        <f>IF(R283=1,O283+ROW()*0.000000001,"")</f>
        <v/>
      </c>
      <c r="T283" s="39" t="str">
        <f>IF(O283&gt;0,INDEX(Calc!$B$4:$B$11,MATCH(MAX(G283:N283),G283:N283,0)),"-")</f>
        <v>Maize Stover</v>
      </c>
    </row>
    <row r="284" spans="1:20">
      <c r="A284" s="39">
        <v>281</v>
      </c>
      <c r="B284" s="39" t="s">
        <v>342</v>
      </c>
      <c r="C284" s="39" t="s">
        <v>352</v>
      </c>
      <c r="D284" s="39" t="str">
        <f>B284&amp;"|"&amp;C284</f>
        <v>Karnataka|Chikkamagaluru</v>
      </c>
      <c r="E284" s="40">
        <v>13.32</v>
      </c>
      <c r="F284" s="40">
        <v>75.77</v>
      </c>
      <c r="G284" s="41">
        <v>3.78</v>
      </c>
      <c r="H284" s="41">
        <v>0</v>
      </c>
      <c r="I284" s="41">
        <v>21.4315</v>
      </c>
      <c r="J284" s="41">
        <v>0</v>
      </c>
      <c r="K284" s="41">
        <v>3.2069000000000001</v>
      </c>
      <c r="L284" s="41">
        <v>0.37409999999999999</v>
      </c>
      <c r="M284" s="41">
        <v>1.23E-2</v>
      </c>
      <c r="N284" s="41">
        <v>0</v>
      </c>
      <c r="O284" s="42">
        <f>SUM(G284:N284)</f>
        <v>28.8048</v>
      </c>
      <c r="P284" s="42">
        <f>SUMPRODUCT(G284:N284,$G$2:$N$2)*1000/Assumptions!$C$15</f>
        <v>8.7413641146627583</v>
      </c>
      <c r="Q284" s="43">
        <f>IF(ISNUMBER(Finder!$G$5),Finder!$D$8*Assumptions!$C$16*2*ASIN(SQRT(SIN(RADIANS(E284-Finder!$G$5)/2)^2+COS(RADIANS(Finder!$G$5))*COS(RADIANS(E284))*SIN(RADIANS(F284-Finder!$G$6)/2)^2)),"")</f>
        <v>1760.2232466002151</v>
      </c>
      <c r="R284" s="39">
        <f>IF(ISNUMBER(Q284),IF(Q284&lt;=Finder!$D$7,1,0),0)</f>
        <v>0</v>
      </c>
      <c r="S284" s="39" t="str">
        <f>IF(R284=1,O284+ROW()*0.000000001,"")</f>
        <v/>
      </c>
      <c r="T284" s="39" t="str">
        <f>IF(O284&gt;0,INDEX(Calc!$B$4:$B$11,MATCH(MAX(G284:N284),G284:N284,0)),"-")</f>
        <v>Maize Stover</v>
      </c>
    </row>
    <row r="285" spans="1:20">
      <c r="A285" s="39">
        <v>282</v>
      </c>
      <c r="B285" s="39" t="s">
        <v>342</v>
      </c>
      <c r="C285" s="39" t="s">
        <v>353</v>
      </c>
      <c r="D285" s="39" t="str">
        <f>B285&amp;"|"&amp;C285</f>
        <v>Karnataka|Chitradurga</v>
      </c>
      <c r="E285" s="40">
        <v>14.23</v>
      </c>
      <c r="F285" s="40">
        <v>76.400000000000006</v>
      </c>
      <c r="G285" s="41">
        <v>0.84</v>
      </c>
      <c r="H285" s="41">
        <v>0</v>
      </c>
      <c r="I285" s="41">
        <v>488.7466</v>
      </c>
      <c r="J285" s="41">
        <v>0</v>
      </c>
      <c r="K285" s="41">
        <v>4.7699999999999999E-2</v>
      </c>
      <c r="L285" s="41">
        <v>5.5999999999999999E-3</v>
      </c>
      <c r="M285" s="41">
        <v>0.40949999999999998</v>
      </c>
      <c r="N285" s="41">
        <v>0</v>
      </c>
      <c r="O285" s="42">
        <f>SUM(G285:N285)</f>
        <v>490.04939999999999</v>
      </c>
      <c r="P285" s="42">
        <f>SUMPRODUCT(G285:N285,$G$2:$N$2)*1000/Assumptions!$C$15</f>
        <v>144.23316420293256</v>
      </c>
      <c r="Q285" s="43">
        <f>IF(ISNUMBER(Finder!$G$5),Finder!$D$8*Assumptions!$C$16*2*ASIN(SQRT(SIN(RADIANS(E285-Finder!$G$5)/2)^2+COS(RADIANS(Finder!$G$5))*COS(RADIANS(E285))*SIN(RADIANS(F285-Finder!$G$6)/2)^2)),"")</f>
        <v>1660.5029335404063</v>
      </c>
      <c r="R285" s="39">
        <f>IF(ISNUMBER(Q285),IF(Q285&lt;=Finder!$D$7,1,0),0)</f>
        <v>0</v>
      </c>
      <c r="S285" s="39" t="str">
        <f>IF(R285=1,O285+ROW()*0.000000001,"")</f>
        <v/>
      </c>
      <c r="T285" s="39" t="str">
        <f>IF(O285&gt;0,INDEX(Calc!$B$4:$B$11,MATCH(MAX(G285:N285),G285:N285,0)),"-")</f>
        <v>Maize Stover</v>
      </c>
    </row>
    <row r="286" spans="1:20">
      <c r="A286" s="39">
        <v>283</v>
      </c>
      <c r="B286" s="39" t="s">
        <v>342</v>
      </c>
      <c r="C286" s="39" t="s">
        <v>354</v>
      </c>
      <c r="D286" s="39" t="str">
        <f>B286&amp;"|"&amp;C286</f>
        <v>Karnataka|Dakshina Kannada</v>
      </c>
      <c r="E286" s="40">
        <v>12.91</v>
      </c>
      <c r="F286" s="40">
        <v>74.86</v>
      </c>
      <c r="G286" s="41">
        <v>1.68</v>
      </c>
      <c r="H286" s="41">
        <v>0</v>
      </c>
      <c r="I286" s="41">
        <v>0</v>
      </c>
      <c r="J286" s="41">
        <v>0</v>
      </c>
      <c r="K286" s="41">
        <v>1.5800000000000002E-2</v>
      </c>
      <c r="L286" s="41">
        <v>1.8E-3</v>
      </c>
      <c r="M286" s="41">
        <v>0</v>
      </c>
      <c r="N286" s="41">
        <v>0</v>
      </c>
      <c r="O286" s="42">
        <f>SUM(G286:N286)</f>
        <v>1.6976</v>
      </c>
      <c r="P286" s="42">
        <f>SUMPRODUCT(G286:N286,$G$2:$N$2)*1000/Assumptions!$C$15</f>
        <v>0.62096518651026389</v>
      </c>
      <c r="Q286" s="43">
        <f>IF(ISNUMBER(Finder!$G$5),Finder!$D$8*Assumptions!$C$16*2*ASIN(SQRT(SIN(RADIANS(E286-Finder!$G$5)/2)^2+COS(RADIANS(Finder!$G$5))*COS(RADIANS(E286))*SIN(RADIANS(F286-Finder!$G$6)/2)^2)),"")</f>
        <v>1807.9888465224124</v>
      </c>
      <c r="R286" s="39">
        <f>IF(ISNUMBER(Q286),IF(Q286&lt;=Finder!$D$7,1,0),0)</f>
        <v>0</v>
      </c>
      <c r="S286" s="39" t="str">
        <f>IF(R286=1,O286+ROW()*0.000000001,"")</f>
        <v/>
      </c>
      <c r="T286" s="39" t="str">
        <f>IF(O286&gt;0,INDEX(Calc!$B$4:$B$11,MATCH(MAX(G286:N286),G286:N286,0)),"-")</f>
        <v>Paddy Straw</v>
      </c>
    </row>
    <row r="287" spans="1:20">
      <c r="A287" s="39">
        <v>284</v>
      </c>
      <c r="B287" s="39" t="s">
        <v>342</v>
      </c>
      <c r="C287" s="39" t="s">
        <v>355</v>
      </c>
      <c r="D287" s="39" t="str">
        <f>B287&amp;"|"&amp;C287</f>
        <v>Karnataka|Davanagere</v>
      </c>
      <c r="E287" s="40">
        <v>14.46</v>
      </c>
      <c r="F287" s="40">
        <v>75.92</v>
      </c>
      <c r="G287" s="41">
        <v>41.16</v>
      </c>
      <c r="H287" s="41">
        <v>0</v>
      </c>
      <c r="I287" s="41">
        <v>417.94830000000002</v>
      </c>
      <c r="J287" s="41">
        <v>0</v>
      </c>
      <c r="K287" s="41">
        <v>26.457100000000001</v>
      </c>
      <c r="L287" s="41">
        <v>3.0867</v>
      </c>
      <c r="M287" s="41">
        <v>0.1925</v>
      </c>
      <c r="N287" s="41">
        <v>0</v>
      </c>
      <c r="O287" s="42">
        <f>SUM(G287:N287)</f>
        <v>488.84460000000001</v>
      </c>
      <c r="P287" s="42">
        <f>SUMPRODUCT(G287:N287,$G$2:$N$2)*1000/Assumptions!$C$15</f>
        <v>146.74001683079183</v>
      </c>
      <c r="Q287" s="43">
        <f>IF(ISNUMBER(Finder!$G$5),Finder!$D$8*Assumptions!$C$16*2*ASIN(SQRT(SIN(RADIANS(E287-Finder!$G$5)/2)^2+COS(RADIANS(Finder!$G$5))*COS(RADIANS(E287))*SIN(RADIANS(F287-Finder!$G$6)/2)^2)),"")</f>
        <v>1633.5829073144366</v>
      </c>
      <c r="R287" s="39">
        <f>IF(ISNUMBER(Q287),IF(Q287&lt;=Finder!$D$7,1,0),0)</f>
        <v>0</v>
      </c>
      <c r="S287" s="39" t="str">
        <f>IF(R287=1,O287+ROW()*0.000000001,"")</f>
        <v/>
      </c>
      <c r="T287" s="39" t="str">
        <f>IF(O287&gt;0,INDEX(Calc!$B$4:$B$11,MATCH(MAX(G287:N287),G287:N287,0)),"-")</f>
        <v>Maize Stover</v>
      </c>
    </row>
    <row r="288" spans="1:20">
      <c r="A288" s="39">
        <v>285</v>
      </c>
      <c r="B288" s="39" t="s">
        <v>342</v>
      </c>
      <c r="C288" s="39" t="s">
        <v>356</v>
      </c>
      <c r="D288" s="39" t="str">
        <f>B288&amp;"|"&amp;C288</f>
        <v>Karnataka|Dharwad</v>
      </c>
      <c r="E288" s="40">
        <v>15.46</v>
      </c>
      <c r="F288" s="40">
        <v>75.010000000000005</v>
      </c>
      <c r="G288" s="41">
        <v>3.36</v>
      </c>
      <c r="H288" s="41">
        <v>4.95</v>
      </c>
      <c r="I288" s="41">
        <v>231.06190000000001</v>
      </c>
      <c r="J288" s="41">
        <v>0</v>
      </c>
      <c r="K288" s="41">
        <v>155.30000000000001</v>
      </c>
      <c r="L288" s="41">
        <v>18.118300000000001</v>
      </c>
      <c r="M288" s="41">
        <v>31.141200000000001</v>
      </c>
      <c r="N288" s="41">
        <v>0</v>
      </c>
      <c r="O288" s="42">
        <f>SUM(G288:N288)</f>
        <v>443.93140000000005</v>
      </c>
      <c r="P288" s="42">
        <f>SUMPRODUCT(G288:N288,$G$2:$N$2)*1000/Assumptions!$C$15</f>
        <v>131.56455522023458</v>
      </c>
      <c r="Q288" s="43">
        <f>IF(ISNUMBER(Finder!$G$5),Finder!$D$8*Assumptions!$C$16*2*ASIN(SQRT(SIN(RADIANS(E288-Finder!$G$5)/2)^2+COS(RADIANS(Finder!$G$5))*COS(RADIANS(E288))*SIN(RADIANS(F288-Finder!$G$6)/2)^2)),"")</f>
        <v>1523.9973121147609</v>
      </c>
      <c r="R288" s="39">
        <f>IF(ISNUMBER(Q288),IF(Q288&lt;=Finder!$D$7,1,0),0)</f>
        <v>0</v>
      </c>
      <c r="S288" s="39" t="str">
        <f>IF(R288=1,O288+ROW()*0.000000001,"")</f>
        <v/>
      </c>
      <c r="T288" s="39" t="str">
        <f>IF(O288&gt;0,INDEX(Calc!$B$4:$B$11,MATCH(MAX(G288:N288),G288:N288,0)),"-")</f>
        <v>Maize Stover</v>
      </c>
    </row>
    <row r="289" spans="1:20">
      <c r="A289" s="39">
        <v>286</v>
      </c>
      <c r="B289" s="39" t="s">
        <v>342</v>
      </c>
      <c r="C289" s="39" t="s">
        <v>357</v>
      </c>
      <c r="D289" s="39" t="str">
        <f>B289&amp;"|"&amp;C289</f>
        <v>Karnataka|Gadag</v>
      </c>
      <c r="E289" s="40">
        <v>15.43</v>
      </c>
      <c r="F289" s="40">
        <v>75.63</v>
      </c>
      <c r="G289" s="41">
        <v>2.52</v>
      </c>
      <c r="H289" s="41">
        <v>6.3</v>
      </c>
      <c r="I289" s="41">
        <v>330.84969999999998</v>
      </c>
      <c r="J289" s="41">
        <v>0</v>
      </c>
      <c r="K289" s="41">
        <v>22.509</v>
      </c>
      <c r="L289" s="41">
        <v>2.6261000000000001</v>
      </c>
      <c r="M289" s="41">
        <v>1.3746</v>
      </c>
      <c r="N289" s="41">
        <v>0</v>
      </c>
      <c r="O289" s="42">
        <f>SUM(G289:N289)</f>
        <v>366.17939999999999</v>
      </c>
      <c r="P289" s="42">
        <f>SUMPRODUCT(G289:N289,$G$2:$N$2)*1000/Assumptions!$C$15</f>
        <v>108.34694678563051</v>
      </c>
      <c r="Q289" s="43">
        <f>IF(ISNUMBER(Finder!$G$5),Finder!$D$8*Assumptions!$C$16*2*ASIN(SQRT(SIN(RADIANS(E289-Finder!$G$5)/2)^2+COS(RADIANS(Finder!$G$5))*COS(RADIANS(E289))*SIN(RADIANS(F289-Finder!$G$6)/2)^2)),"")</f>
        <v>1525.6222923108558</v>
      </c>
      <c r="R289" s="39">
        <f>IF(ISNUMBER(Q289),IF(Q289&lt;=Finder!$D$7,1,0),0)</f>
        <v>0</v>
      </c>
      <c r="S289" s="39" t="str">
        <f>IF(R289=1,O289+ROW()*0.000000001,"")</f>
        <v/>
      </c>
      <c r="T289" s="39" t="str">
        <f>IF(O289&gt;0,INDEX(Calc!$B$4:$B$11,MATCH(MAX(G289:N289),G289:N289,0)),"-")</f>
        <v>Maize Stover</v>
      </c>
    </row>
    <row r="290" spans="1:20">
      <c r="A290" s="39">
        <v>287</v>
      </c>
      <c r="B290" s="39" t="s">
        <v>342</v>
      </c>
      <c r="C290" s="39" t="s">
        <v>358</v>
      </c>
      <c r="D290" s="39" t="str">
        <f>B290&amp;"|"&amp;C290</f>
        <v>Karnataka|Hassan</v>
      </c>
      <c r="E290" s="40">
        <v>13.01</v>
      </c>
      <c r="F290" s="40">
        <v>76.099999999999994</v>
      </c>
      <c r="G290" s="41">
        <v>9.24</v>
      </c>
      <c r="H290" s="41">
        <v>0</v>
      </c>
      <c r="I290" s="41">
        <v>483.96179999999998</v>
      </c>
      <c r="J290" s="41">
        <v>0</v>
      </c>
      <c r="K290" s="41">
        <v>66.3035</v>
      </c>
      <c r="L290" s="41">
        <v>7.7354000000000003</v>
      </c>
      <c r="M290" s="41">
        <v>1.23E-2</v>
      </c>
      <c r="N290" s="41">
        <v>0</v>
      </c>
      <c r="O290" s="42">
        <f>SUM(G290:N290)</f>
        <v>567.25300000000004</v>
      </c>
      <c r="P290" s="42">
        <f>SUMPRODUCT(G290:N290,$G$2:$N$2)*1000/Assumptions!$C$15</f>
        <v>167.41374435249267</v>
      </c>
      <c r="Q290" s="43">
        <f>IF(ISNUMBER(Finder!$G$5),Finder!$D$8*Assumptions!$C$16*2*ASIN(SQRT(SIN(RADIANS(E290-Finder!$G$5)/2)^2+COS(RADIANS(Finder!$G$5))*COS(RADIANS(E290))*SIN(RADIANS(F290-Finder!$G$6)/2)^2)),"")</f>
        <v>1795.1149795089018</v>
      </c>
      <c r="R290" s="39">
        <f>IF(ISNUMBER(Q290),IF(Q290&lt;=Finder!$D$7,1,0),0)</f>
        <v>0</v>
      </c>
      <c r="S290" s="39" t="str">
        <f>IF(R290=1,O290+ROW()*0.000000001,"")</f>
        <v/>
      </c>
      <c r="T290" s="39" t="str">
        <f>IF(O290&gt;0,INDEX(Calc!$B$4:$B$11,MATCH(MAX(G290:N290),G290:N290,0)),"-")</f>
        <v>Maize Stover</v>
      </c>
    </row>
    <row r="291" spans="1:20">
      <c r="A291" s="39">
        <v>288</v>
      </c>
      <c r="B291" s="39" t="s">
        <v>342</v>
      </c>
      <c r="C291" s="39" t="s">
        <v>359</v>
      </c>
      <c r="D291" s="39" t="str">
        <f>B291&amp;"|"&amp;C291</f>
        <v>Karnataka|Haveri</v>
      </c>
      <c r="E291" s="40">
        <v>14.79</v>
      </c>
      <c r="F291" s="40">
        <v>75.400000000000006</v>
      </c>
      <c r="G291" s="41">
        <v>15.96</v>
      </c>
      <c r="H291" s="41">
        <v>0</v>
      </c>
      <c r="I291" s="41">
        <v>537.64829999999995</v>
      </c>
      <c r="J291" s="41">
        <v>0</v>
      </c>
      <c r="K291" s="41">
        <v>120.2607</v>
      </c>
      <c r="L291" s="41">
        <v>14.0304</v>
      </c>
      <c r="M291" s="41">
        <v>4.4398</v>
      </c>
      <c r="N291" s="41">
        <v>0</v>
      </c>
      <c r="O291" s="42">
        <f>SUM(G291:N291)</f>
        <v>692.33920000000001</v>
      </c>
      <c r="P291" s="42">
        <f>SUMPRODUCT(G291:N291,$G$2:$N$2)*1000/Assumptions!$C$15</f>
        <v>204.68742535483875</v>
      </c>
      <c r="Q291" s="43">
        <f>IF(ISNUMBER(Finder!$G$5),Finder!$D$8*Assumptions!$C$16*2*ASIN(SQRT(SIN(RADIANS(E291-Finder!$G$5)/2)^2+COS(RADIANS(Finder!$G$5))*COS(RADIANS(E291))*SIN(RADIANS(F291-Finder!$G$6)/2)^2)),"")</f>
        <v>1597.0974176686186</v>
      </c>
      <c r="R291" s="39">
        <f>IF(ISNUMBER(Q291),IF(Q291&lt;=Finder!$D$7,1,0),0)</f>
        <v>0</v>
      </c>
      <c r="S291" s="39" t="str">
        <f>IF(R291=1,O291+ROW()*0.000000001,"")</f>
        <v/>
      </c>
      <c r="T291" s="39" t="str">
        <f>IF(O291&gt;0,INDEX(Calc!$B$4:$B$11,MATCH(MAX(G291:N291),G291:N291,0)),"-")</f>
        <v>Maize Stover</v>
      </c>
    </row>
    <row r="292" spans="1:20">
      <c r="A292" s="39">
        <v>289</v>
      </c>
      <c r="B292" s="39" t="s">
        <v>342</v>
      </c>
      <c r="C292" s="39" t="s">
        <v>360</v>
      </c>
      <c r="D292" s="39" t="str">
        <f>B292&amp;"|"&amp;C292</f>
        <v>Karnataka|Kalaburagi</v>
      </c>
      <c r="E292" s="40">
        <v>17.329999999999998</v>
      </c>
      <c r="F292" s="40">
        <v>76.83</v>
      </c>
      <c r="G292" s="41">
        <v>4.2</v>
      </c>
      <c r="H292" s="41">
        <v>2.7</v>
      </c>
      <c r="I292" s="41">
        <v>6.9372999999999996</v>
      </c>
      <c r="J292" s="41">
        <v>2.0000000000000001E-4</v>
      </c>
      <c r="K292" s="41">
        <v>864.32539999999995</v>
      </c>
      <c r="L292" s="41">
        <v>100.83799999999999</v>
      </c>
      <c r="M292" s="41">
        <v>57.667700000000004</v>
      </c>
      <c r="N292" s="41">
        <v>0</v>
      </c>
      <c r="O292" s="42">
        <f>SUM(G292:N292)</f>
        <v>1036.6686</v>
      </c>
      <c r="P292" s="42">
        <f>SUMPRODUCT(G292:N292,$G$2:$N$2)*1000/Assumptions!$C$15</f>
        <v>305.00983155542525</v>
      </c>
      <c r="Q292" s="43">
        <f>IF(ISNUMBER(Finder!$G$5),Finder!$D$8*Assumptions!$C$16*2*ASIN(SQRT(SIN(RADIANS(E292-Finder!$G$5)/2)^2+COS(RADIANS(Finder!$G$5))*COS(RADIANS(E292))*SIN(RADIANS(F292-Finder!$G$6)/2)^2)),"")</f>
        <v>1319.1811127487267</v>
      </c>
      <c r="R292" s="39">
        <f>IF(ISNUMBER(Q292),IF(Q292&lt;=Finder!$D$7,1,0),0)</f>
        <v>0</v>
      </c>
      <c r="S292" s="39" t="str">
        <f>IF(R292=1,O292+ROW()*0.000000001,"")</f>
        <v/>
      </c>
      <c r="T292" s="39" t="str">
        <f>IF(O292&gt;0,INDEX(Calc!$B$4:$B$11,MATCH(MAX(G292:N292),G292:N292,0)),"-")</f>
        <v>Cane Trash</v>
      </c>
    </row>
    <row r="293" spans="1:20">
      <c r="A293" s="39">
        <v>290</v>
      </c>
      <c r="B293" s="39" t="s">
        <v>342</v>
      </c>
      <c r="C293" s="39" t="s">
        <v>361</v>
      </c>
      <c r="D293" s="39" t="str">
        <f>B293&amp;"|"&amp;C293</f>
        <v>Karnataka|Kodagu</v>
      </c>
      <c r="E293" s="40">
        <v>12.42</v>
      </c>
      <c r="F293" s="40">
        <v>75.739999999999995</v>
      </c>
      <c r="G293" s="41">
        <v>5.04</v>
      </c>
      <c r="H293" s="41">
        <v>0</v>
      </c>
      <c r="I293" s="41">
        <v>3.8771</v>
      </c>
      <c r="J293" s="41">
        <v>0</v>
      </c>
      <c r="K293" s="41">
        <v>0</v>
      </c>
      <c r="L293" s="41">
        <v>0</v>
      </c>
      <c r="M293" s="41">
        <v>0</v>
      </c>
      <c r="N293" s="41">
        <v>0</v>
      </c>
      <c r="O293" s="42">
        <f>SUM(G293:N293)</f>
        <v>8.9170999999999996</v>
      </c>
      <c r="P293" s="42">
        <f>SUMPRODUCT(G293:N293,$G$2:$N$2)*1000/Assumptions!$C$15</f>
        <v>2.9880057583577715</v>
      </c>
      <c r="Q293" s="43">
        <f>IF(ISNUMBER(Finder!$G$5),Finder!$D$8*Assumptions!$C$16*2*ASIN(SQRT(SIN(RADIANS(E293-Finder!$G$5)/2)^2+COS(RADIANS(Finder!$G$5))*COS(RADIANS(E293))*SIN(RADIANS(F293-Finder!$G$6)/2)^2)),"")</f>
        <v>1860.2922727968448</v>
      </c>
      <c r="R293" s="39">
        <f>IF(ISNUMBER(Q293),IF(Q293&lt;=Finder!$D$7,1,0),0)</f>
        <v>0</v>
      </c>
      <c r="S293" s="39" t="str">
        <f>IF(R293=1,O293+ROW()*0.000000001,"")</f>
        <v/>
      </c>
      <c r="T293" s="39" t="str">
        <f>IF(O293&gt;0,INDEX(Calc!$B$4:$B$11,MATCH(MAX(G293:N293),G293:N293,0)),"-")</f>
        <v>Paddy Straw</v>
      </c>
    </row>
    <row r="294" spans="1:20">
      <c r="A294" s="39">
        <v>291</v>
      </c>
      <c r="B294" s="39" t="s">
        <v>342</v>
      </c>
      <c r="C294" s="39" t="s">
        <v>362</v>
      </c>
      <c r="D294" s="39" t="str">
        <f>B294&amp;"|"&amp;C294</f>
        <v>Karnataka|Kolar</v>
      </c>
      <c r="E294" s="40">
        <v>13.14</v>
      </c>
      <c r="F294" s="40">
        <v>78.13</v>
      </c>
      <c r="G294" s="41">
        <v>1.26</v>
      </c>
      <c r="H294" s="41">
        <v>0</v>
      </c>
      <c r="I294" s="41">
        <v>9.4847000000000001</v>
      </c>
      <c r="J294" s="41">
        <v>5.9999999999999995E-4</v>
      </c>
      <c r="K294" s="41">
        <v>0.68269999999999997</v>
      </c>
      <c r="L294" s="41">
        <v>7.9699999999999993E-2</v>
      </c>
      <c r="M294" s="41">
        <v>1.8E-3</v>
      </c>
      <c r="N294" s="41">
        <v>0</v>
      </c>
      <c r="O294" s="42">
        <f>SUM(G294:N294)</f>
        <v>11.509500000000001</v>
      </c>
      <c r="P294" s="42">
        <f>SUMPRODUCT(G294:N294,$G$2:$N$2)*1000/Assumptions!$C$15</f>
        <v>3.4757583164222878</v>
      </c>
      <c r="Q294" s="43">
        <f>IF(ISNUMBER(Finder!$G$5),Finder!$D$8*Assumptions!$C$16*2*ASIN(SQRT(SIN(RADIANS(E294-Finder!$G$5)/2)^2+COS(RADIANS(Finder!$G$5))*COS(RADIANS(E294))*SIN(RADIANS(F294-Finder!$G$6)/2)^2)),"")</f>
        <v>1797.525582348532</v>
      </c>
      <c r="R294" s="39">
        <f>IF(ISNUMBER(Q294),IF(Q294&lt;=Finder!$D$7,1,0),0)</f>
        <v>0</v>
      </c>
      <c r="S294" s="39" t="str">
        <f>IF(R294=1,O294+ROW()*0.000000001,"")</f>
        <v/>
      </c>
      <c r="T294" s="39" t="str">
        <f>IF(O294&gt;0,INDEX(Calc!$B$4:$B$11,MATCH(MAX(G294:N294),G294:N294,0)),"-")</f>
        <v>Maize Stover</v>
      </c>
    </row>
    <row r="295" spans="1:20">
      <c r="A295" s="39">
        <v>292</v>
      </c>
      <c r="B295" s="39" t="s">
        <v>342</v>
      </c>
      <c r="C295" s="39" t="s">
        <v>363</v>
      </c>
      <c r="D295" s="39" t="str">
        <f>B295&amp;"|"&amp;C295</f>
        <v>Karnataka|Koppal</v>
      </c>
      <c r="E295" s="40">
        <v>15.35</v>
      </c>
      <c r="F295" s="40">
        <v>76.150000000000006</v>
      </c>
      <c r="G295" s="41">
        <v>48.72</v>
      </c>
      <c r="H295" s="41">
        <v>0.45</v>
      </c>
      <c r="I295" s="41">
        <v>343.79309999999998</v>
      </c>
      <c r="J295" s="41">
        <v>0</v>
      </c>
      <c r="K295" s="41">
        <v>36.5306</v>
      </c>
      <c r="L295" s="41">
        <v>4.2618999999999998</v>
      </c>
      <c r="M295" s="41">
        <v>0.1024</v>
      </c>
      <c r="N295" s="41">
        <v>0</v>
      </c>
      <c r="O295" s="42">
        <f>SUM(G295:N295)</f>
        <v>433.858</v>
      </c>
      <c r="P295" s="42">
        <f>SUMPRODUCT(G295:N295,$G$2:$N$2)*1000/Assumptions!$C$15</f>
        <v>131.1218557281525</v>
      </c>
      <c r="Q295" s="43">
        <f>IF(ISNUMBER(Finder!$G$5),Finder!$D$8*Assumptions!$C$16*2*ASIN(SQRT(SIN(RADIANS(E295-Finder!$G$5)/2)^2+COS(RADIANS(Finder!$G$5))*COS(RADIANS(E295))*SIN(RADIANS(F295-Finder!$G$6)/2)^2)),"")</f>
        <v>1535.1233341405245</v>
      </c>
      <c r="R295" s="39">
        <f>IF(ISNUMBER(Q295),IF(Q295&lt;=Finder!$D$7,1,0),0)</f>
        <v>0</v>
      </c>
      <c r="S295" s="39" t="str">
        <f>IF(R295=1,O295+ROW()*0.000000001,"")</f>
        <v/>
      </c>
      <c r="T295" s="39" t="str">
        <f>IF(O295&gt;0,INDEX(Calc!$B$4:$B$11,MATCH(MAX(G295:N295),G295:N295,0)),"-")</f>
        <v>Maize Stover</v>
      </c>
    </row>
    <row r="296" spans="1:20">
      <c r="A296" s="39">
        <v>293</v>
      </c>
      <c r="B296" s="39" t="s">
        <v>342</v>
      </c>
      <c r="C296" s="39" t="s">
        <v>364</v>
      </c>
      <c r="D296" s="39" t="str">
        <f>B296&amp;"|"&amp;C296</f>
        <v>Karnataka|Mandya</v>
      </c>
      <c r="E296" s="40">
        <v>12.52</v>
      </c>
      <c r="F296" s="40">
        <v>76.900000000000006</v>
      </c>
      <c r="G296" s="41">
        <v>27.3</v>
      </c>
      <c r="H296" s="41">
        <v>0</v>
      </c>
      <c r="I296" s="41">
        <v>24.0093</v>
      </c>
      <c r="J296" s="41">
        <v>0</v>
      </c>
      <c r="K296" s="41">
        <v>877.00429999999994</v>
      </c>
      <c r="L296" s="41">
        <v>102.3172</v>
      </c>
      <c r="M296" s="41">
        <v>1.9199999999999998E-2</v>
      </c>
      <c r="N296" s="41">
        <v>0</v>
      </c>
      <c r="O296" s="42">
        <f>SUM(G296:N296)</f>
        <v>1030.6499999999999</v>
      </c>
      <c r="P296" s="42">
        <f>SUMPRODUCT(G296:N296,$G$2:$N$2)*1000/Assumptions!$C$15</f>
        <v>303.44504886334306</v>
      </c>
      <c r="Q296" s="43">
        <f>IF(ISNUMBER(Finder!$G$5),Finder!$D$8*Assumptions!$C$16*2*ASIN(SQRT(SIN(RADIANS(E296-Finder!$G$5)/2)^2+COS(RADIANS(Finder!$G$5))*COS(RADIANS(E296))*SIN(RADIANS(F296-Finder!$G$6)/2)^2)),"")</f>
        <v>1853.1923405585119</v>
      </c>
      <c r="R296" s="39">
        <f>IF(ISNUMBER(Q296),IF(Q296&lt;=Finder!$D$7,1,0),0)</f>
        <v>0</v>
      </c>
      <c r="S296" s="39" t="str">
        <f>IF(R296=1,O296+ROW()*0.000000001,"")</f>
        <v/>
      </c>
      <c r="T296" s="39" t="str">
        <f>IF(O296&gt;0,INDEX(Calc!$B$4:$B$11,MATCH(MAX(G296:N296),G296:N296,0)),"-")</f>
        <v>Cane Trash</v>
      </c>
    </row>
    <row r="297" spans="1:20">
      <c r="A297" s="39">
        <v>294</v>
      </c>
      <c r="B297" s="39" t="s">
        <v>342</v>
      </c>
      <c r="C297" s="39" t="s">
        <v>365</v>
      </c>
      <c r="D297" s="39" t="str">
        <f>B297&amp;"|"&amp;C297</f>
        <v>Karnataka|Mysuru</v>
      </c>
      <c r="E297" s="40">
        <v>12.3</v>
      </c>
      <c r="F297" s="40">
        <v>76.64</v>
      </c>
      <c r="G297" s="41">
        <v>34.020000000000003</v>
      </c>
      <c r="H297" s="41">
        <v>0</v>
      </c>
      <c r="I297" s="41">
        <v>183.15039999999999</v>
      </c>
      <c r="J297" s="41">
        <v>0</v>
      </c>
      <c r="K297" s="41">
        <v>304.22179999999997</v>
      </c>
      <c r="L297" s="41">
        <v>35.4925</v>
      </c>
      <c r="M297" s="41">
        <v>9.8900000000000002E-2</v>
      </c>
      <c r="N297" s="41">
        <v>0</v>
      </c>
      <c r="O297" s="42">
        <f>SUM(G297:N297)</f>
        <v>556.98359999999991</v>
      </c>
      <c r="P297" s="42">
        <f>SUMPRODUCT(G297:N297,$G$2:$N$2)*1000/Assumptions!$C$15</f>
        <v>165.7187198085044</v>
      </c>
      <c r="Q297" s="43">
        <f>IF(ISNUMBER(Finder!$G$5),Finder!$D$8*Assumptions!$C$16*2*ASIN(SQRT(SIN(RADIANS(E297-Finder!$G$5)/2)^2+COS(RADIANS(Finder!$G$5))*COS(RADIANS(E297))*SIN(RADIANS(F297-Finder!$G$6)/2)^2)),"")</f>
        <v>1876.050696923317</v>
      </c>
      <c r="R297" s="39">
        <f>IF(ISNUMBER(Q297),IF(Q297&lt;=Finder!$D$7,1,0),0)</f>
        <v>0</v>
      </c>
      <c r="S297" s="39" t="str">
        <f>IF(R297=1,O297+ROW()*0.000000001,"")</f>
        <v/>
      </c>
      <c r="T297" s="39" t="str">
        <f>IF(O297&gt;0,INDEX(Calc!$B$4:$B$11,MATCH(MAX(G297:N297),G297:N297,0)),"-")</f>
        <v>Cane Trash</v>
      </c>
    </row>
    <row r="298" spans="1:20">
      <c r="A298" s="39">
        <v>295</v>
      </c>
      <c r="B298" s="39" t="s">
        <v>342</v>
      </c>
      <c r="C298" s="39" t="s">
        <v>366</v>
      </c>
      <c r="D298" s="39" t="str">
        <f>B298&amp;"|"&amp;C298</f>
        <v>Karnataka|Raichur</v>
      </c>
      <c r="E298" s="40">
        <v>16.21</v>
      </c>
      <c r="F298" s="40">
        <v>77.36</v>
      </c>
      <c r="G298" s="41">
        <v>82.32</v>
      </c>
      <c r="H298" s="41">
        <v>0</v>
      </c>
      <c r="I298" s="41">
        <v>12.4771</v>
      </c>
      <c r="J298" s="41">
        <v>1.6500000000000001E-2</v>
      </c>
      <c r="K298" s="41">
        <v>27.195699999999999</v>
      </c>
      <c r="L298" s="41">
        <v>3.1728000000000001</v>
      </c>
      <c r="M298" s="41">
        <v>7.0900000000000005E-2</v>
      </c>
      <c r="N298" s="41">
        <v>0</v>
      </c>
      <c r="O298" s="42">
        <f>SUM(G298:N298)</f>
        <v>125.25299999999999</v>
      </c>
      <c r="P298" s="42">
        <f>SUMPRODUCT(G298:N298,$G$2:$N$2)*1000/Assumptions!$C$15</f>
        <v>42.752756458651021</v>
      </c>
      <c r="Q298" s="43">
        <f>IF(ISNUMBER(Finder!$G$5),Finder!$D$8*Assumptions!$C$16*2*ASIN(SQRT(SIN(RADIANS(E298-Finder!$G$5)/2)^2+COS(RADIANS(Finder!$G$5))*COS(RADIANS(E298))*SIN(RADIANS(F298-Finder!$G$6)/2)^2)),"")</f>
        <v>1448.6033540519302</v>
      </c>
      <c r="R298" s="39">
        <f>IF(ISNUMBER(Q298),IF(Q298&lt;=Finder!$D$7,1,0),0)</f>
        <v>0</v>
      </c>
      <c r="S298" s="39" t="str">
        <f>IF(R298=1,O298+ROW()*0.000000001,"")</f>
        <v/>
      </c>
      <c r="T298" s="39" t="str">
        <f>IF(O298&gt;0,INDEX(Calc!$B$4:$B$11,MATCH(MAX(G298:N298),G298:N298,0)),"-")</f>
        <v>Paddy Straw</v>
      </c>
    </row>
    <row r="299" spans="1:20">
      <c r="A299" s="39">
        <v>296</v>
      </c>
      <c r="B299" s="39" t="s">
        <v>342</v>
      </c>
      <c r="C299" s="39" t="s">
        <v>367</v>
      </c>
      <c r="D299" s="39" t="str">
        <f>B299&amp;"|"&amp;C299</f>
        <v>Karnataka|Shivamogga</v>
      </c>
      <c r="E299" s="40">
        <v>13.93</v>
      </c>
      <c r="F299" s="40">
        <v>75.569999999999993</v>
      </c>
      <c r="G299" s="41">
        <v>28.56</v>
      </c>
      <c r="H299" s="41">
        <v>0</v>
      </c>
      <c r="I299" s="41">
        <v>165.8475</v>
      </c>
      <c r="J299" s="41">
        <v>0</v>
      </c>
      <c r="K299" s="41">
        <v>16.6676</v>
      </c>
      <c r="L299" s="41">
        <v>1.9446000000000001</v>
      </c>
      <c r="M299" s="41">
        <v>8.8000000000000005E-3</v>
      </c>
      <c r="N299" s="41">
        <v>0</v>
      </c>
      <c r="O299" s="42">
        <f>SUM(G299:N299)</f>
        <v>213.02850000000001</v>
      </c>
      <c r="P299" s="42">
        <f>SUMPRODUCT(G299:N299,$G$2:$N$2)*1000/Assumptions!$C$15</f>
        <v>64.703378455718465</v>
      </c>
      <c r="Q299" s="43">
        <f>IF(ISNUMBER(Finder!$G$5),Finder!$D$8*Assumptions!$C$16*2*ASIN(SQRT(SIN(RADIANS(E299-Finder!$G$5)/2)^2+COS(RADIANS(Finder!$G$5))*COS(RADIANS(E299))*SIN(RADIANS(F299-Finder!$G$6)/2)^2)),"")</f>
        <v>1692.4572782473128</v>
      </c>
      <c r="R299" s="39">
        <f>IF(ISNUMBER(Q299),IF(Q299&lt;=Finder!$D$7,1,0),0)</f>
        <v>0</v>
      </c>
      <c r="S299" s="39" t="str">
        <f>IF(R299=1,O299+ROW()*0.000000001,"")</f>
        <v/>
      </c>
      <c r="T299" s="39" t="str">
        <f>IF(O299&gt;0,INDEX(Calc!$B$4:$B$11,MATCH(MAX(G299:N299),G299:N299,0)),"-")</f>
        <v>Maize Stover</v>
      </c>
    </row>
    <row r="300" spans="1:20">
      <c r="A300" s="39">
        <v>297</v>
      </c>
      <c r="B300" s="39" t="s">
        <v>342</v>
      </c>
      <c r="C300" s="39" t="s">
        <v>368</v>
      </c>
      <c r="D300" s="39" t="str">
        <f>B300&amp;"|"&amp;C300</f>
        <v>Karnataka|Tumakuru</v>
      </c>
      <c r="E300" s="40">
        <v>13.34</v>
      </c>
      <c r="F300" s="40">
        <v>77.099999999999994</v>
      </c>
      <c r="G300" s="41">
        <v>1.68</v>
      </c>
      <c r="H300" s="41">
        <v>0</v>
      </c>
      <c r="I300" s="41">
        <v>79.218299999999999</v>
      </c>
      <c r="J300" s="41">
        <v>2.0000000000000001E-4</v>
      </c>
      <c r="K300" s="41">
        <v>5.3484999999999996</v>
      </c>
      <c r="L300" s="41">
        <v>0.624</v>
      </c>
      <c r="M300" s="41">
        <v>6.1000000000000004E-3</v>
      </c>
      <c r="N300" s="41">
        <v>0</v>
      </c>
      <c r="O300" s="42">
        <f>SUM(G300:N300)</f>
        <v>86.877100000000013</v>
      </c>
      <c r="P300" s="42">
        <f>SUMPRODUCT(G300:N300,$G$2:$N$2)*1000/Assumptions!$C$15</f>
        <v>25.66883100997067</v>
      </c>
      <c r="Q300" s="43">
        <f>IF(ISNUMBER(Finder!$G$5),Finder!$D$8*Assumptions!$C$16*2*ASIN(SQRT(SIN(RADIANS(E300-Finder!$G$5)/2)^2+COS(RADIANS(Finder!$G$5))*COS(RADIANS(E300))*SIN(RADIANS(F300-Finder!$G$6)/2)^2)),"")</f>
        <v>1763.7462098472454</v>
      </c>
      <c r="R300" s="39">
        <f>IF(ISNUMBER(Q300),IF(Q300&lt;=Finder!$D$7,1,0),0)</f>
        <v>0</v>
      </c>
      <c r="S300" s="39" t="str">
        <f>IF(R300=1,O300+ROW()*0.000000001,"")</f>
        <v/>
      </c>
      <c r="T300" s="39" t="str">
        <f>IF(O300&gt;0,INDEX(Calc!$B$4:$B$11,MATCH(MAX(G300:N300),G300:N300,0)),"-")</f>
        <v>Maize Stover</v>
      </c>
    </row>
    <row r="301" spans="1:20">
      <c r="A301" s="39">
        <v>298</v>
      </c>
      <c r="B301" s="39" t="s">
        <v>342</v>
      </c>
      <c r="C301" s="39" t="s">
        <v>369</v>
      </c>
      <c r="D301" s="39" t="str">
        <f>B301&amp;"|"&amp;C301</f>
        <v>Karnataka|Udupi</v>
      </c>
      <c r="E301" s="40">
        <v>13.34</v>
      </c>
      <c r="F301" s="40">
        <v>74.75</v>
      </c>
      <c r="G301" s="41">
        <v>11.76</v>
      </c>
      <c r="H301" s="41">
        <v>0</v>
      </c>
      <c r="I301" s="41">
        <v>5.04E-2</v>
      </c>
      <c r="J301" s="41">
        <v>0</v>
      </c>
      <c r="K301" s="41">
        <v>0.17460000000000001</v>
      </c>
      <c r="L301" s="41">
        <v>2.0400000000000001E-2</v>
      </c>
      <c r="M301" s="41">
        <v>0</v>
      </c>
      <c r="N301" s="41">
        <v>0</v>
      </c>
      <c r="O301" s="42">
        <f>SUM(G301:N301)</f>
        <v>12.0054</v>
      </c>
      <c r="P301" s="42">
        <f>SUMPRODUCT(G301:N301,$G$2:$N$2)*1000/Assumptions!$C$15</f>
        <v>4.3825206158357766</v>
      </c>
      <c r="Q301" s="43">
        <f>IF(ISNUMBER(Finder!$G$5),Finder!$D$8*Assumptions!$C$16*2*ASIN(SQRT(SIN(RADIANS(E301-Finder!$G$5)/2)^2+COS(RADIANS(Finder!$G$5))*COS(RADIANS(E301))*SIN(RADIANS(F301-Finder!$G$6)/2)^2)),"")</f>
        <v>1760.837215203381</v>
      </c>
      <c r="R301" s="39">
        <f>IF(ISNUMBER(Q301),IF(Q301&lt;=Finder!$D$7,1,0),0)</f>
        <v>0</v>
      </c>
      <c r="S301" s="39" t="str">
        <f>IF(R301=1,O301+ROW()*0.000000001,"")</f>
        <v/>
      </c>
      <c r="T301" s="39" t="str">
        <f>IF(O301&gt;0,INDEX(Calc!$B$4:$B$11,MATCH(MAX(G301:N301),G301:N301,0)),"-")</f>
        <v>Paddy Straw</v>
      </c>
    </row>
    <row r="302" spans="1:20">
      <c r="A302" s="39">
        <v>299</v>
      </c>
      <c r="B302" s="39" t="s">
        <v>342</v>
      </c>
      <c r="C302" s="39" t="s">
        <v>370</v>
      </c>
      <c r="D302" s="39" t="str">
        <f>B302&amp;"|"&amp;C302</f>
        <v>Karnataka|Uttara Kannada</v>
      </c>
      <c r="E302" s="40">
        <v>14.81</v>
      </c>
      <c r="F302" s="40">
        <v>74.13</v>
      </c>
      <c r="G302" s="41">
        <v>15.96</v>
      </c>
      <c r="H302" s="41">
        <v>0</v>
      </c>
      <c r="I302" s="41">
        <v>42.9985</v>
      </c>
      <c r="J302" s="41">
        <v>0</v>
      </c>
      <c r="K302" s="41">
        <v>188.82040000000001</v>
      </c>
      <c r="L302" s="41">
        <v>22.029</v>
      </c>
      <c r="M302" s="41">
        <v>0.1094</v>
      </c>
      <c r="N302" s="41">
        <v>0</v>
      </c>
      <c r="O302" s="42">
        <f>SUM(G302:N302)</f>
        <v>269.91730000000001</v>
      </c>
      <c r="P302" s="42">
        <f>SUMPRODUCT(G302:N302,$G$2:$N$2)*1000/Assumptions!$C$15</f>
        <v>80.189808481524935</v>
      </c>
      <c r="Q302" s="43">
        <f>IF(ISNUMBER(Finder!$G$5),Finder!$D$8*Assumptions!$C$16*2*ASIN(SQRT(SIN(RADIANS(E302-Finder!$G$5)/2)^2+COS(RADIANS(Finder!$G$5))*COS(RADIANS(E302))*SIN(RADIANS(F302-Finder!$G$6)/2)^2)),"")</f>
        <v>1602.8762727716423</v>
      </c>
      <c r="R302" s="39">
        <f>IF(ISNUMBER(Q302),IF(Q302&lt;=Finder!$D$7,1,0),0)</f>
        <v>0</v>
      </c>
      <c r="S302" s="39" t="str">
        <f>IF(R302=1,O302+ROW()*0.000000001,"")</f>
        <v/>
      </c>
      <c r="T302" s="39" t="str">
        <f>IF(O302&gt;0,INDEX(Calc!$B$4:$B$11,MATCH(MAX(G302:N302),G302:N302,0)),"-")</f>
        <v>Cane Trash</v>
      </c>
    </row>
    <row r="303" spans="1:20">
      <c r="A303" s="39">
        <v>300</v>
      </c>
      <c r="B303" s="39" t="s">
        <v>342</v>
      </c>
      <c r="C303" s="39" t="s">
        <v>371</v>
      </c>
      <c r="D303" s="39" t="str">
        <f>B303&amp;"|"&amp;C303</f>
        <v>Karnataka|Vijayanagara</v>
      </c>
      <c r="E303" s="40">
        <v>15.27</v>
      </c>
      <c r="F303" s="40">
        <v>76.39</v>
      </c>
      <c r="G303" s="41">
        <v>11.76</v>
      </c>
      <c r="H303" s="41">
        <v>0</v>
      </c>
      <c r="I303" s="41">
        <v>761.13980000000004</v>
      </c>
      <c r="J303" s="41">
        <v>5.9999999999999995E-4</v>
      </c>
      <c r="K303" s="41">
        <v>131.07400000000001</v>
      </c>
      <c r="L303" s="41">
        <v>15.292</v>
      </c>
      <c r="M303" s="41">
        <v>0.50660000000000005</v>
      </c>
      <c r="N303" s="41">
        <v>0</v>
      </c>
      <c r="O303" s="42">
        <f>SUM(G303:N303)</f>
        <v>919.77300000000014</v>
      </c>
      <c r="P303" s="42">
        <f>SUMPRODUCT(G303:N303,$G$2:$N$2)*1000/Assumptions!$C$15</f>
        <v>271.18403077067455</v>
      </c>
      <c r="Q303" s="43">
        <f>IF(ISNUMBER(Finder!$G$5),Finder!$D$8*Assumptions!$C$16*2*ASIN(SQRT(SIN(RADIANS(E303-Finder!$G$5)/2)^2+COS(RADIANS(Finder!$G$5))*COS(RADIANS(E303))*SIN(RADIANS(F303-Finder!$G$6)/2)^2)),"")</f>
        <v>1544.9146708884448</v>
      </c>
      <c r="R303" s="39">
        <f>IF(ISNUMBER(Q303),IF(Q303&lt;=Finder!$D$7,1,0),0)</f>
        <v>0</v>
      </c>
      <c r="S303" s="39" t="str">
        <f>IF(R303=1,O303+ROW()*0.000000001,"")</f>
        <v/>
      </c>
      <c r="T303" s="39" t="str">
        <f>IF(O303&gt;0,INDEX(Calc!$B$4:$B$11,MATCH(MAX(G303:N303),G303:N303,0)),"-")</f>
        <v>Maize Stover</v>
      </c>
    </row>
    <row r="304" spans="1:20">
      <c r="A304" s="39">
        <v>301</v>
      </c>
      <c r="B304" s="39" t="s">
        <v>342</v>
      </c>
      <c r="C304" s="39" t="s">
        <v>372</v>
      </c>
      <c r="D304" s="39" t="str">
        <f>B304&amp;"|"&amp;C304</f>
        <v>Karnataka|Vijayapura</v>
      </c>
      <c r="E304" s="40">
        <v>16.829999999999998</v>
      </c>
      <c r="F304" s="40">
        <v>75.709999999999994</v>
      </c>
      <c r="G304" s="41">
        <v>0</v>
      </c>
      <c r="H304" s="41">
        <v>14.4</v>
      </c>
      <c r="I304" s="41">
        <v>400.61279999999999</v>
      </c>
      <c r="J304" s="41">
        <v>1.8E-3</v>
      </c>
      <c r="K304" s="41">
        <v>1512.3625</v>
      </c>
      <c r="L304" s="41">
        <v>176.44229999999999</v>
      </c>
      <c r="M304" s="41">
        <v>0.70789999999999997</v>
      </c>
      <c r="N304" s="41">
        <v>0</v>
      </c>
      <c r="O304" s="42">
        <f>SUM(G304:N304)</f>
        <v>2104.5272999999997</v>
      </c>
      <c r="P304" s="42">
        <f>SUMPRODUCT(G304:N304,$G$2:$N$2)*1000/Assumptions!$C$15</f>
        <v>617.18845908533717</v>
      </c>
      <c r="Q304" s="43">
        <f>IF(ISNUMBER(Finder!$G$5),Finder!$D$8*Assumptions!$C$16*2*ASIN(SQRT(SIN(RADIANS(E304-Finder!$G$5)/2)^2+COS(RADIANS(Finder!$G$5))*COS(RADIANS(E304))*SIN(RADIANS(F304-Finder!$G$6)/2)^2)),"")</f>
        <v>1369.9218764252196</v>
      </c>
      <c r="R304" s="39">
        <f>IF(ISNUMBER(Q304),IF(Q304&lt;=Finder!$D$7,1,0),0)</f>
        <v>0</v>
      </c>
      <c r="S304" s="39" t="str">
        <f>IF(R304=1,O304+ROW()*0.000000001,"")</f>
        <v/>
      </c>
      <c r="T304" s="39" t="str">
        <f>IF(O304&gt;0,INDEX(Calc!$B$4:$B$11,MATCH(MAX(G304:N304),G304:N304,0)),"-")</f>
        <v>Cane Trash</v>
      </c>
    </row>
    <row r="305" spans="1:20">
      <c r="A305" s="39">
        <v>302</v>
      </c>
      <c r="B305" s="39" t="s">
        <v>342</v>
      </c>
      <c r="C305" s="39" t="s">
        <v>373</v>
      </c>
      <c r="D305" s="39" t="str">
        <f>B305&amp;"|"&amp;C305</f>
        <v>Karnataka|Yadgir</v>
      </c>
      <c r="E305" s="40">
        <v>16.77</v>
      </c>
      <c r="F305" s="40">
        <v>77.14</v>
      </c>
      <c r="G305" s="41">
        <v>57.96</v>
      </c>
      <c r="H305" s="41">
        <v>0.45</v>
      </c>
      <c r="I305" s="41">
        <v>1.2694000000000001</v>
      </c>
      <c r="J305" s="41">
        <v>1E-4</v>
      </c>
      <c r="K305" s="41">
        <v>33.5777</v>
      </c>
      <c r="L305" s="41">
        <v>3.9174000000000002</v>
      </c>
      <c r="M305" s="41">
        <v>1.9199999999999998E-2</v>
      </c>
      <c r="N305" s="41">
        <v>0</v>
      </c>
      <c r="O305" s="42">
        <f>SUM(G305:N305)</f>
        <v>97.19380000000001</v>
      </c>
      <c r="P305" s="42">
        <f>SUMPRODUCT(G305:N305,$G$2:$N$2)*1000/Assumptions!$C$15</f>
        <v>32.754115641642223</v>
      </c>
      <c r="Q305" s="43">
        <f>IF(ISNUMBER(Finder!$G$5),Finder!$D$8*Assumptions!$C$16*2*ASIN(SQRT(SIN(RADIANS(E305-Finder!$G$5)/2)^2+COS(RADIANS(Finder!$G$5))*COS(RADIANS(E305))*SIN(RADIANS(F305-Finder!$G$6)/2)^2)),"")</f>
        <v>1384.2035644672228</v>
      </c>
      <c r="R305" s="39">
        <f>IF(ISNUMBER(Q305),IF(Q305&lt;=Finder!$D$7,1,0),0)</f>
        <v>0</v>
      </c>
      <c r="S305" s="39" t="str">
        <f>IF(R305=1,O305+ROW()*0.000000001,"")</f>
        <v/>
      </c>
      <c r="T305" s="39" t="str">
        <f>IF(O305&gt;0,INDEX(Calc!$B$4:$B$11,MATCH(MAX(G305:N305),G305:N305,0)),"-")</f>
        <v>Paddy Straw</v>
      </c>
    </row>
    <row r="306" spans="1:20">
      <c r="A306" s="39">
        <v>303</v>
      </c>
      <c r="B306" s="39" t="s">
        <v>374</v>
      </c>
      <c r="C306" s="39" t="s">
        <v>375</v>
      </c>
      <c r="D306" s="39" t="str">
        <f>B306&amp;"|"&amp;C306</f>
        <v>Kerala|Alappuzha</v>
      </c>
      <c r="E306" s="40">
        <v>9.5</v>
      </c>
      <c r="F306" s="40">
        <v>76.34</v>
      </c>
      <c r="G306" s="41">
        <v>15.54</v>
      </c>
      <c r="H306" s="41">
        <v>0</v>
      </c>
      <c r="I306" s="41">
        <v>1.4E-3</v>
      </c>
      <c r="J306" s="41">
        <v>0</v>
      </c>
      <c r="K306" s="41">
        <v>5.3199999999999997E-2</v>
      </c>
      <c r="L306" s="41">
        <v>6.1999999999999998E-3</v>
      </c>
      <c r="M306" s="41">
        <v>0</v>
      </c>
      <c r="N306" s="41">
        <v>0</v>
      </c>
      <c r="O306" s="42">
        <f>SUM(G306:N306)</f>
        <v>15.6008</v>
      </c>
      <c r="P306" s="42">
        <f>SUMPRODUCT(G306:N306,$G$2:$N$2)*1000/Assumptions!$C$15</f>
        <v>5.714035582991202</v>
      </c>
      <c r="Q306" s="43">
        <f>IF(ISNUMBER(Finder!$G$5),Finder!$D$8*Assumptions!$C$16*2*ASIN(SQRT(SIN(RADIANS(E306-Finder!$G$5)/2)^2+COS(RADIANS(Finder!$G$5))*COS(RADIANS(E306))*SIN(RADIANS(F306-Finder!$G$6)/2)^2)),"")</f>
        <v>2185.9355593023615</v>
      </c>
      <c r="R306" s="39">
        <f>IF(ISNUMBER(Q306),IF(Q306&lt;=Finder!$D$7,1,0),0)</f>
        <v>0</v>
      </c>
      <c r="S306" s="39" t="str">
        <f>IF(R306=1,O306+ROW()*0.000000001,"")</f>
        <v/>
      </c>
      <c r="T306" s="39" t="str">
        <f>IF(O306&gt;0,INDEX(Calc!$B$4:$B$11,MATCH(MAX(G306:N306),G306:N306,0)),"-")</f>
        <v>Paddy Straw</v>
      </c>
    </row>
    <row r="307" spans="1:20">
      <c r="A307" s="39">
        <v>304</v>
      </c>
      <c r="B307" s="39" t="s">
        <v>374</v>
      </c>
      <c r="C307" s="39" t="s">
        <v>376</v>
      </c>
      <c r="D307" s="39" t="str">
        <f>B307&amp;"|"&amp;C307</f>
        <v>Kerala|Ernakulam</v>
      </c>
      <c r="E307" s="40">
        <v>9.98</v>
      </c>
      <c r="F307" s="40">
        <v>76.28</v>
      </c>
      <c r="G307" s="41">
        <v>1.68</v>
      </c>
      <c r="H307" s="41">
        <v>0</v>
      </c>
      <c r="I307" s="41">
        <v>0</v>
      </c>
      <c r="J307" s="41">
        <v>0</v>
      </c>
      <c r="K307" s="41">
        <v>6.7000000000000002E-3</v>
      </c>
      <c r="L307" s="41">
        <v>8.0000000000000004E-4</v>
      </c>
      <c r="M307" s="41">
        <v>0</v>
      </c>
      <c r="N307" s="41">
        <v>0</v>
      </c>
      <c r="O307" s="42">
        <f>SUM(G307:N307)</f>
        <v>1.6874999999999998</v>
      </c>
      <c r="P307" s="42">
        <f>SUMPRODUCT(G307:N307,$G$2:$N$2)*1000/Assumptions!$C$15</f>
        <v>0.61800107683284444</v>
      </c>
      <c r="Q307" s="43">
        <f>IF(ISNUMBER(Finder!$G$5),Finder!$D$8*Assumptions!$C$16*2*ASIN(SQRT(SIN(RADIANS(E307-Finder!$G$5)/2)^2+COS(RADIANS(Finder!$G$5))*COS(RADIANS(E307))*SIN(RADIANS(F307-Finder!$G$6)/2)^2)),"")</f>
        <v>2132.4036840337944</v>
      </c>
      <c r="R307" s="39">
        <f>IF(ISNUMBER(Q307),IF(Q307&lt;=Finder!$D$7,1,0),0)</f>
        <v>0</v>
      </c>
      <c r="S307" s="39" t="str">
        <f>IF(R307=1,O307+ROW()*0.000000001,"")</f>
        <v/>
      </c>
      <c r="T307" s="39" t="str">
        <f>IF(O307&gt;0,INDEX(Calc!$B$4:$B$11,MATCH(MAX(G307:N307),G307:N307,0)),"-")</f>
        <v>Paddy Straw</v>
      </c>
    </row>
    <row r="308" spans="1:20">
      <c r="A308" s="39">
        <v>305</v>
      </c>
      <c r="B308" s="39" t="s">
        <v>374</v>
      </c>
      <c r="C308" s="39" t="s">
        <v>377</v>
      </c>
      <c r="D308" s="39" t="str">
        <f>B308&amp;"|"&amp;C308</f>
        <v>Kerala|Idukki</v>
      </c>
      <c r="E308" s="40">
        <v>9.85</v>
      </c>
      <c r="F308" s="40">
        <v>76.97</v>
      </c>
      <c r="G308" s="41">
        <v>0</v>
      </c>
      <c r="H308" s="41">
        <v>0</v>
      </c>
      <c r="I308" s="41">
        <v>6.4000000000000003E-3</v>
      </c>
      <c r="J308" s="41">
        <v>1E-4</v>
      </c>
      <c r="K308" s="41">
        <v>1.6943999999999999</v>
      </c>
      <c r="L308" s="41">
        <v>0.19769999999999999</v>
      </c>
      <c r="M308" s="41">
        <v>0</v>
      </c>
      <c r="N308" s="41">
        <v>0</v>
      </c>
      <c r="O308" s="42">
        <f>SUM(G308:N308)</f>
        <v>1.8985999999999998</v>
      </c>
      <c r="P308" s="42">
        <f>SUMPRODUCT(G308:N308,$G$2:$N$2)*1000/Assumptions!$C$15</f>
        <v>0.55518841260997065</v>
      </c>
      <c r="Q308" s="43">
        <f>IF(ISNUMBER(Finder!$G$5),Finder!$D$8*Assumptions!$C$16*2*ASIN(SQRT(SIN(RADIANS(E308-Finder!$G$5)/2)^2+COS(RADIANS(Finder!$G$5))*COS(RADIANS(E308))*SIN(RADIANS(F308-Finder!$G$6)/2)^2)),"")</f>
        <v>2150.0057365348293</v>
      </c>
      <c r="R308" s="39">
        <f>IF(ISNUMBER(Q308),IF(Q308&lt;=Finder!$D$7,1,0),0)</f>
        <v>0</v>
      </c>
      <c r="S308" s="39" t="str">
        <f>IF(R308=1,O308+ROW()*0.000000001,"")</f>
        <v/>
      </c>
      <c r="T308" s="39" t="str">
        <f>IF(O308&gt;0,INDEX(Calc!$B$4:$B$11,MATCH(MAX(G308:N308),G308:N308,0)),"-")</f>
        <v>Cane Trash</v>
      </c>
    </row>
    <row r="309" spans="1:20">
      <c r="A309" s="39">
        <v>306</v>
      </c>
      <c r="B309" s="39" t="s">
        <v>374</v>
      </c>
      <c r="C309" s="39" t="s">
        <v>378</v>
      </c>
      <c r="D309" s="39" t="str">
        <f>B309&amp;"|"&amp;C309</f>
        <v>Kerala|Kannur</v>
      </c>
      <c r="E309" s="40">
        <v>11.87</v>
      </c>
      <c r="F309" s="40">
        <v>75.37</v>
      </c>
      <c r="G309" s="41">
        <v>1.68</v>
      </c>
      <c r="H309" s="41">
        <v>0</v>
      </c>
      <c r="I309" s="41">
        <v>2.0000000000000001E-4</v>
      </c>
      <c r="J309" s="41">
        <v>0</v>
      </c>
      <c r="K309" s="41">
        <v>1.4E-3</v>
      </c>
      <c r="L309" s="41">
        <v>2.0000000000000001E-4</v>
      </c>
      <c r="M309" s="41">
        <v>0</v>
      </c>
      <c r="N309" s="41">
        <v>0</v>
      </c>
      <c r="O309" s="42">
        <f>SUM(G309:N309)</f>
        <v>1.6818</v>
      </c>
      <c r="P309" s="42">
        <f>SUMPRODUCT(G309:N309,$G$2:$N$2)*1000/Assumptions!$C$15</f>
        <v>0.61633147624633433</v>
      </c>
      <c r="Q309" s="43">
        <f>IF(ISNUMBER(Finder!$G$5),Finder!$D$8*Assumptions!$C$16*2*ASIN(SQRT(SIN(RADIANS(E309-Finder!$G$5)/2)^2+COS(RADIANS(Finder!$G$5))*COS(RADIANS(E309))*SIN(RADIANS(F309-Finder!$G$6)/2)^2)),"")</f>
        <v>1921.7903213999818</v>
      </c>
      <c r="R309" s="39">
        <f>IF(ISNUMBER(Q309),IF(Q309&lt;=Finder!$D$7,1,0),0)</f>
        <v>0</v>
      </c>
      <c r="S309" s="39" t="str">
        <f>IF(R309=1,O309+ROW()*0.000000001,"")</f>
        <v/>
      </c>
      <c r="T309" s="39" t="str">
        <f>IF(O309&gt;0,INDEX(Calc!$B$4:$B$11,MATCH(MAX(G309:N309),G309:N309,0)),"-")</f>
        <v>Paddy Straw</v>
      </c>
    </row>
    <row r="310" spans="1:20">
      <c r="A310" s="39">
        <v>307</v>
      </c>
      <c r="B310" s="39" t="s">
        <v>374</v>
      </c>
      <c r="C310" s="39" t="s">
        <v>379</v>
      </c>
      <c r="D310" s="39" t="str">
        <f>B310&amp;"|"&amp;C310</f>
        <v>Kerala|Kasaragod</v>
      </c>
      <c r="E310" s="40">
        <v>12.5</v>
      </c>
      <c r="F310" s="40">
        <v>75</v>
      </c>
      <c r="G310" s="41">
        <v>0.84</v>
      </c>
      <c r="H310" s="41">
        <v>0</v>
      </c>
      <c r="I310" s="41">
        <v>0</v>
      </c>
      <c r="J310" s="41">
        <v>0</v>
      </c>
      <c r="K310" s="41">
        <v>0</v>
      </c>
      <c r="L310" s="41">
        <v>0</v>
      </c>
      <c r="M310" s="41">
        <v>0</v>
      </c>
      <c r="N310" s="41">
        <v>0</v>
      </c>
      <c r="O310" s="42">
        <f>SUM(G310:N310)</f>
        <v>0.84</v>
      </c>
      <c r="P310" s="42">
        <f>SUMPRODUCT(G310:N310,$G$2:$N$2)*1000/Assumptions!$C$15</f>
        <v>0.30790557184750728</v>
      </c>
      <c r="Q310" s="43">
        <f>IF(ISNUMBER(Finder!$G$5),Finder!$D$8*Assumptions!$C$16*2*ASIN(SQRT(SIN(RADIANS(E310-Finder!$G$5)/2)^2+COS(RADIANS(Finder!$G$5))*COS(RADIANS(E310))*SIN(RADIANS(F310-Finder!$G$6)/2)^2)),"")</f>
        <v>1852.8918603034695</v>
      </c>
      <c r="R310" s="39">
        <f>IF(ISNUMBER(Q310),IF(Q310&lt;=Finder!$D$7,1,0),0)</f>
        <v>0</v>
      </c>
      <c r="S310" s="39" t="str">
        <f>IF(R310=1,O310+ROW()*0.000000001,"")</f>
        <v/>
      </c>
      <c r="T310" s="39" t="str">
        <f>IF(O310&gt;0,INDEX(Calc!$B$4:$B$11,MATCH(MAX(G310:N310),G310:N310,0)),"-")</f>
        <v>Paddy Straw</v>
      </c>
    </row>
    <row r="311" spans="1:20">
      <c r="A311" s="39">
        <v>308</v>
      </c>
      <c r="B311" s="39" t="s">
        <v>374</v>
      </c>
      <c r="C311" s="39" t="s">
        <v>380</v>
      </c>
      <c r="D311" s="39" t="str">
        <f>B311&amp;"|"&amp;C311</f>
        <v>Kerala|Kollam</v>
      </c>
      <c r="E311" s="40">
        <v>8.89</v>
      </c>
      <c r="F311" s="40">
        <v>76.61</v>
      </c>
      <c r="G311" s="41">
        <v>0.42</v>
      </c>
      <c r="H311" s="41">
        <v>0</v>
      </c>
      <c r="I311" s="41">
        <v>0</v>
      </c>
      <c r="J311" s="41">
        <v>0</v>
      </c>
      <c r="K311" s="41">
        <v>0</v>
      </c>
      <c r="L311" s="41">
        <v>0</v>
      </c>
      <c r="M311" s="41">
        <v>0</v>
      </c>
      <c r="N311" s="41">
        <v>0</v>
      </c>
      <c r="O311" s="42">
        <f>SUM(G311:N311)</f>
        <v>0.42</v>
      </c>
      <c r="P311" s="42">
        <f>SUMPRODUCT(G311:N311,$G$2:$N$2)*1000/Assumptions!$C$15</f>
        <v>0.15395278592375364</v>
      </c>
      <c r="Q311" s="43">
        <f>IF(ISNUMBER(Finder!$G$5),Finder!$D$8*Assumptions!$C$16*2*ASIN(SQRT(SIN(RADIANS(E311-Finder!$G$5)/2)^2+COS(RADIANS(Finder!$G$5))*COS(RADIANS(E311))*SIN(RADIANS(F311-Finder!$G$6)/2)^2)),"")</f>
        <v>2254.7236316184185</v>
      </c>
      <c r="R311" s="39">
        <f>IF(ISNUMBER(Q311),IF(Q311&lt;=Finder!$D$7,1,0),0)</f>
        <v>0</v>
      </c>
      <c r="S311" s="39" t="str">
        <f>IF(R311=1,O311+ROW()*0.000000001,"")</f>
        <v/>
      </c>
      <c r="T311" s="39" t="str">
        <f>IF(O311&gt;0,INDEX(Calc!$B$4:$B$11,MATCH(MAX(G311:N311),G311:N311,0)),"-")</f>
        <v>Paddy Straw</v>
      </c>
    </row>
    <row r="312" spans="1:20">
      <c r="A312" s="39">
        <v>309</v>
      </c>
      <c r="B312" s="39" t="s">
        <v>374</v>
      </c>
      <c r="C312" s="39" t="s">
        <v>381</v>
      </c>
      <c r="D312" s="39" t="str">
        <f>B312&amp;"|"&amp;C312</f>
        <v>Kerala|Kottayam</v>
      </c>
      <c r="E312" s="40">
        <v>9.59</v>
      </c>
      <c r="F312" s="40">
        <v>76.52</v>
      </c>
      <c r="G312" s="41">
        <v>7.56</v>
      </c>
      <c r="H312" s="41">
        <v>0</v>
      </c>
      <c r="I312" s="41">
        <v>0</v>
      </c>
      <c r="J312" s="41">
        <v>0</v>
      </c>
      <c r="K312" s="41">
        <v>3.1800000000000002E-2</v>
      </c>
      <c r="L312" s="41">
        <v>3.7000000000000002E-3</v>
      </c>
      <c r="M312" s="41">
        <v>0</v>
      </c>
      <c r="N312" s="41">
        <v>0</v>
      </c>
      <c r="O312" s="42">
        <f>SUM(G312:N312)</f>
        <v>7.5954999999999995</v>
      </c>
      <c r="P312" s="42">
        <f>SUMPRODUCT(G312:N312,$G$2:$N$2)*1000/Assumptions!$C$15</f>
        <v>2.781532640175953</v>
      </c>
      <c r="Q312" s="43">
        <f>IF(ISNUMBER(Finder!$G$5),Finder!$D$8*Assumptions!$C$16*2*ASIN(SQRT(SIN(RADIANS(E312-Finder!$G$5)/2)^2+COS(RADIANS(Finder!$G$5))*COS(RADIANS(E312))*SIN(RADIANS(F312-Finder!$G$6)/2)^2)),"")</f>
        <v>2176.5695623311467</v>
      </c>
      <c r="R312" s="39">
        <f>IF(ISNUMBER(Q312),IF(Q312&lt;=Finder!$D$7,1,0),0)</f>
        <v>0</v>
      </c>
      <c r="S312" s="39" t="str">
        <f>IF(R312=1,O312+ROW()*0.000000001,"")</f>
        <v/>
      </c>
      <c r="T312" s="39" t="str">
        <f>IF(O312&gt;0,INDEX(Calc!$B$4:$B$11,MATCH(MAX(G312:N312),G312:N312,0)),"-")</f>
        <v>Paddy Straw</v>
      </c>
    </row>
    <row r="313" spans="1:20">
      <c r="A313" s="39">
        <v>310</v>
      </c>
      <c r="B313" s="39" t="s">
        <v>374</v>
      </c>
      <c r="C313" s="39" t="s">
        <v>382</v>
      </c>
      <c r="D313" s="39" t="str">
        <f>B313&amp;"|"&amp;C313</f>
        <v>Kerala|Kozhikode</v>
      </c>
      <c r="E313" s="40">
        <v>11.26</v>
      </c>
      <c r="F313" s="40">
        <v>75.78</v>
      </c>
      <c r="G313" s="41">
        <v>0.42</v>
      </c>
      <c r="H313" s="41">
        <v>0</v>
      </c>
      <c r="I313" s="41">
        <v>0</v>
      </c>
      <c r="J313" s="41">
        <v>0</v>
      </c>
      <c r="K313" s="41">
        <v>0</v>
      </c>
      <c r="L313" s="41">
        <v>0</v>
      </c>
      <c r="M313" s="41">
        <v>0</v>
      </c>
      <c r="N313" s="41">
        <v>0</v>
      </c>
      <c r="O313" s="42">
        <f>SUM(G313:N313)</f>
        <v>0.42</v>
      </c>
      <c r="P313" s="42">
        <f>SUMPRODUCT(G313:N313,$G$2:$N$2)*1000/Assumptions!$C$15</f>
        <v>0.15395278592375364</v>
      </c>
      <c r="Q313" s="43">
        <f>IF(ISNUMBER(Finder!$G$5),Finder!$D$8*Assumptions!$C$16*2*ASIN(SQRT(SIN(RADIANS(E313-Finder!$G$5)/2)^2+COS(RADIANS(Finder!$G$5))*COS(RADIANS(E313))*SIN(RADIANS(F313-Finder!$G$6)/2)^2)),"")</f>
        <v>1989.2869779610783</v>
      </c>
      <c r="R313" s="39">
        <f>IF(ISNUMBER(Q313),IF(Q313&lt;=Finder!$D$7,1,0),0)</f>
        <v>0</v>
      </c>
      <c r="S313" s="39" t="str">
        <f>IF(R313=1,O313+ROW()*0.000000001,"")</f>
        <v/>
      </c>
      <c r="T313" s="39" t="str">
        <f>IF(O313&gt;0,INDEX(Calc!$B$4:$B$11,MATCH(MAX(G313:N313),G313:N313,0)),"-")</f>
        <v>Paddy Straw</v>
      </c>
    </row>
    <row r="314" spans="1:20">
      <c r="A314" s="39">
        <v>311</v>
      </c>
      <c r="B314" s="39" t="s">
        <v>374</v>
      </c>
      <c r="C314" s="39" t="s">
        <v>383</v>
      </c>
      <c r="D314" s="39" t="str">
        <f>B314&amp;"|"&amp;C314</f>
        <v>Kerala|Malappuram</v>
      </c>
      <c r="E314" s="40">
        <v>11.07</v>
      </c>
      <c r="F314" s="40">
        <v>76.069999999999993</v>
      </c>
      <c r="G314" s="41">
        <v>3.78</v>
      </c>
      <c r="H314" s="41">
        <v>0</v>
      </c>
      <c r="I314" s="41">
        <v>0</v>
      </c>
      <c r="J314" s="41">
        <v>0</v>
      </c>
      <c r="K314" s="41">
        <v>0</v>
      </c>
      <c r="L314" s="41">
        <v>0</v>
      </c>
      <c r="M314" s="41">
        <v>0</v>
      </c>
      <c r="N314" s="41">
        <v>0</v>
      </c>
      <c r="O314" s="42">
        <f>SUM(G314:N314)</f>
        <v>3.78</v>
      </c>
      <c r="P314" s="42">
        <f>SUMPRODUCT(G314:N314,$G$2:$N$2)*1000/Assumptions!$C$15</f>
        <v>1.3855750733137828</v>
      </c>
      <c r="Q314" s="43">
        <f>IF(ISNUMBER(Finder!$G$5),Finder!$D$8*Assumptions!$C$16*2*ASIN(SQRT(SIN(RADIANS(E314-Finder!$G$5)/2)^2+COS(RADIANS(Finder!$G$5))*COS(RADIANS(E314))*SIN(RADIANS(F314-Finder!$G$6)/2)^2)),"")</f>
        <v>2010.7325343427858</v>
      </c>
      <c r="R314" s="39">
        <f>IF(ISNUMBER(Q314),IF(Q314&lt;=Finder!$D$7,1,0),0)</f>
        <v>0</v>
      </c>
      <c r="S314" s="39" t="str">
        <f>IF(R314=1,O314+ROW()*0.000000001,"")</f>
        <v/>
      </c>
      <c r="T314" s="39" t="str">
        <f>IF(O314&gt;0,INDEX(Calc!$B$4:$B$11,MATCH(MAX(G314:N314),G314:N314,0)),"-")</f>
        <v>Paddy Straw</v>
      </c>
    </row>
    <row r="315" spans="1:20">
      <c r="A315" s="39">
        <v>312</v>
      </c>
      <c r="B315" s="39" t="s">
        <v>374</v>
      </c>
      <c r="C315" s="39" t="s">
        <v>384</v>
      </c>
      <c r="D315" s="39" t="str">
        <f>B315&amp;"|"&amp;C315</f>
        <v>Kerala|Palakkad</v>
      </c>
      <c r="E315" s="40">
        <v>10.78</v>
      </c>
      <c r="F315" s="40">
        <v>76.650000000000006</v>
      </c>
      <c r="G315" s="41">
        <v>27.72</v>
      </c>
      <c r="H315" s="41">
        <v>0</v>
      </c>
      <c r="I315" s="41">
        <v>0.127</v>
      </c>
      <c r="J315" s="41">
        <v>1.1999999999999999E-3</v>
      </c>
      <c r="K315" s="41">
        <v>1.24E-2</v>
      </c>
      <c r="L315" s="41">
        <v>1.4E-3</v>
      </c>
      <c r="M315" s="41">
        <v>0</v>
      </c>
      <c r="N315" s="41">
        <v>0</v>
      </c>
      <c r="O315" s="42">
        <f>SUM(G315:N315)</f>
        <v>27.861999999999998</v>
      </c>
      <c r="P315" s="42">
        <f>SUMPRODUCT(G315:N315,$G$2:$N$2)*1000/Assumptions!$C$15</f>
        <v>10.202641422287389</v>
      </c>
      <c r="Q315" s="43">
        <f>IF(ISNUMBER(Finder!$G$5),Finder!$D$8*Assumptions!$C$16*2*ASIN(SQRT(SIN(RADIANS(E315-Finder!$G$5)/2)^2+COS(RADIANS(Finder!$G$5))*COS(RADIANS(E315))*SIN(RADIANS(F315-Finder!$G$6)/2)^2)),"")</f>
        <v>2044.9342371206626</v>
      </c>
      <c r="R315" s="39">
        <f>IF(ISNUMBER(Q315),IF(Q315&lt;=Finder!$D$7,1,0),0)</f>
        <v>0</v>
      </c>
      <c r="S315" s="39" t="str">
        <f>IF(R315=1,O315+ROW()*0.000000001,"")</f>
        <v/>
      </c>
      <c r="T315" s="39" t="str">
        <f>IF(O315&gt;0,INDEX(Calc!$B$4:$B$11,MATCH(MAX(G315:N315),G315:N315,0)),"-")</f>
        <v>Paddy Straw</v>
      </c>
    </row>
    <row r="316" spans="1:20">
      <c r="A316" s="39">
        <v>313</v>
      </c>
      <c r="B316" s="39" t="s">
        <v>374</v>
      </c>
      <c r="C316" s="39" t="s">
        <v>385</v>
      </c>
      <c r="D316" s="39" t="str">
        <f>B316&amp;"|"&amp;C316</f>
        <v>Kerala|Pathanamthitta</v>
      </c>
      <c r="E316" s="40">
        <v>9.26</v>
      </c>
      <c r="F316" s="40">
        <v>76.790000000000006</v>
      </c>
      <c r="G316" s="41">
        <v>1.26</v>
      </c>
      <c r="H316" s="41">
        <v>0</v>
      </c>
      <c r="I316" s="41">
        <v>0</v>
      </c>
      <c r="J316" s="41">
        <v>0</v>
      </c>
      <c r="K316" s="41">
        <v>2.23E-2</v>
      </c>
      <c r="L316" s="41">
        <v>2.5999999999999999E-3</v>
      </c>
      <c r="M316" s="41">
        <v>0</v>
      </c>
      <c r="N316" s="41">
        <v>0</v>
      </c>
      <c r="O316" s="42">
        <f>SUM(G316:N316)</f>
        <v>1.2848999999999999</v>
      </c>
      <c r="P316" s="42">
        <f>SUMPRODUCT(G316:N316,$G$2:$N$2)*1000/Assumptions!$C$15</f>
        <v>0.46913979765395891</v>
      </c>
      <c r="Q316" s="43">
        <f>IF(ISNUMBER(Finder!$G$5),Finder!$D$8*Assumptions!$C$16*2*ASIN(SQRT(SIN(RADIANS(E316-Finder!$G$5)/2)^2+COS(RADIANS(Finder!$G$5))*COS(RADIANS(E316))*SIN(RADIANS(F316-Finder!$G$6)/2)^2)),"")</f>
        <v>2214.4800191192276</v>
      </c>
      <c r="R316" s="39">
        <f>IF(ISNUMBER(Q316),IF(Q316&lt;=Finder!$D$7,1,0),0)</f>
        <v>0</v>
      </c>
      <c r="S316" s="39" t="str">
        <f>IF(R316=1,O316+ROW()*0.000000001,"")</f>
        <v/>
      </c>
      <c r="T316" s="39" t="str">
        <f>IF(O316&gt;0,INDEX(Calc!$B$4:$B$11,MATCH(MAX(G316:N316),G316:N316,0)),"-")</f>
        <v>Paddy Straw</v>
      </c>
    </row>
    <row r="317" spans="1:20">
      <c r="A317" s="39">
        <v>314</v>
      </c>
      <c r="B317" s="39" t="s">
        <v>374</v>
      </c>
      <c r="C317" s="39" t="s">
        <v>386</v>
      </c>
      <c r="D317" s="39" t="str">
        <f>B317&amp;"|"&amp;C317</f>
        <v>Kerala|Thiruvananthapuram</v>
      </c>
      <c r="E317" s="40">
        <v>8.52</v>
      </c>
      <c r="F317" s="40">
        <v>76.94</v>
      </c>
      <c r="G317" s="41">
        <v>0.42</v>
      </c>
      <c r="H317" s="41">
        <v>0</v>
      </c>
      <c r="I317" s="41">
        <v>0</v>
      </c>
      <c r="J317" s="41">
        <v>0</v>
      </c>
      <c r="K317" s="41">
        <v>0</v>
      </c>
      <c r="L317" s="41">
        <v>0</v>
      </c>
      <c r="M317" s="41">
        <v>0</v>
      </c>
      <c r="N317" s="41">
        <v>0</v>
      </c>
      <c r="O317" s="42">
        <f>SUM(G317:N317)</f>
        <v>0.42</v>
      </c>
      <c r="P317" s="42">
        <f>SUMPRODUCT(G317:N317,$G$2:$N$2)*1000/Assumptions!$C$15</f>
        <v>0.15395278592375364</v>
      </c>
      <c r="Q317" s="43">
        <f>IF(ISNUMBER(Finder!$G$5),Finder!$D$8*Assumptions!$C$16*2*ASIN(SQRT(SIN(RADIANS(E317-Finder!$G$5)/2)^2+COS(RADIANS(Finder!$G$5))*COS(RADIANS(E317))*SIN(RADIANS(F317-Finder!$G$6)/2)^2)),"")</f>
        <v>2297.4891209749389</v>
      </c>
      <c r="R317" s="39">
        <f>IF(ISNUMBER(Q317),IF(Q317&lt;=Finder!$D$7,1,0),0)</f>
        <v>0</v>
      </c>
      <c r="S317" s="39" t="str">
        <f>IF(R317=1,O317+ROW()*0.000000001,"")</f>
        <v/>
      </c>
      <c r="T317" s="39" t="str">
        <f>IF(O317&gt;0,INDEX(Calc!$B$4:$B$11,MATCH(MAX(G317:N317),G317:N317,0)),"-")</f>
        <v>Paddy Straw</v>
      </c>
    </row>
    <row r="318" spans="1:20">
      <c r="A318" s="39">
        <v>315</v>
      </c>
      <c r="B318" s="39" t="s">
        <v>374</v>
      </c>
      <c r="C318" s="39" t="s">
        <v>387</v>
      </c>
      <c r="D318" s="39" t="str">
        <f>B318&amp;"|"&amp;C318</f>
        <v>Kerala|Thrissur</v>
      </c>
      <c r="E318" s="40">
        <v>10.53</v>
      </c>
      <c r="F318" s="40">
        <v>76.209999999999994</v>
      </c>
      <c r="G318" s="41">
        <v>10.08</v>
      </c>
      <c r="H318" s="41">
        <v>0</v>
      </c>
      <c r="I318" s="41">
        <v>0</v>
      </c>
      <c r="J318" s="41">
        <v>0</v>
      </c>
      <c r="K318" s="41">
        <v>0</v>
      </c>
      <c r="L318" s="41">
        <v>0</v>
      </c>
      <c r="M318" s="41">
        <v>0</v>
      </c>
      <c r="N318" s="41">
        <v>0</v>
      </c>
      <c r="O318" s="42">
        <f>SUM(G318:N318)</f>
        <v>10.08</v>
      </c>
      <c r="P318" s="42">
        <f>SUMPRODUCT(G318:N318,$G$2:$N$2)*1000/Assumptions!$C$15</f>
        <v>3.6948668621700875</v>
      </c>
      <c r="Q318" s="43">
        <f>IF(ISNUMBER(Finder!$G$5),Finder!$D$8*Assumptions!$C$16*2*ASIN(SQRT(SIN(RADIANS(E318-Finder!$G$5)/2)^2+COS(RADIANS(Finder!$G$5))*COS(RADIANS(E318))*SIN(RADIANS(F318-Finder!$G$6)/2)^2)),"")</f>
        <v>2071.0759806329042</v>
      </c>
      <c r="R318" s="39">
        <f>IF(ISNUMBER(Q318),IF(Q318&lt;=Finder!$D$7,1,0),0)</f>
        <v>0</v>
      </c>
      <c r="S318" s="39" t="str">
        <f>IF(R318=1,O318+ROW()*0.000000001,"")</f>
        <v/>
      </c>
      <c r="T318" s="39" t="str">
        <f>IF(O318&gt;0,INDEX(Calc!$B$4:$B$11,MATCH(MAX(G318:N318),G318:N318,0)),"-")</f>
        <v>Paddy Straw</v>
      </c>
    </row>
    <row r="319" spans="1:20">
      <c r="A319" s="39">
        <v>316</v>
      </c>
      <c r="B319" s="39" t="s">
        <v>374</v>
      </c>
      <c r="C319" s="39" t="s">
        <v>388</v>
      </c>
      <c r="D319" s="39" t="str">
        <f>B319&amp;"|"&amp;C319</f>
        <v>Kerala|Wayanad</v>
      </c>
      <c r="E319" s="40">
        <v>11.61</v>
      </c>
      <c r="F319" s="40">
        <v>76.08</v>
      </c>
      <c r="G319" s="41">
        <v>2.94</v>
      </c>
      <c r="H319" s="41">
        <v>0</v>
      </c>
      <c r="I319" s="41">
        <v>8.0000000000000004E-4</v>
      </c>
      <c r="J319" s="41">
        <v>0</v>
      </c>
      <c r="K319" s="41">
        <v>0</v>
      </c>
      <c r="L319" s="41">
        <v>0</v>
      </c>
      <c r="M319" s="41">
        <v>0</v>
      </c>
      <c r="N319" s="41">
        <v>0</v>
      </c>
      <c r="O319" s="42">
        <f>SUM(G319:N319)</f>
        <v>2.9407999999999999</v>
      </c>
      <c r="P319" s="42">
        <f>SUMPRODUCT(G319:N319,$G$2:$N$2)*1000/Assumptions!$C$15</f>
        <v>1.077904846920821</v>
      </c>
      <c r="Q319" s="43">
        <f>IF(ISNUMBER(Finder!$G$5),Finder!$D$8*Assumptions!$C$16*2*ASIN(SQRT(SIN(RADIANS(E319-Finder!$G$5)/2)^2+COS(RADIANS(Finder!$G$5))*COS(RADIANS(E319))*SIN(RADIANS(F319-Finder!$G$6)/2)^2)),"")</f>
        <v>1950.7159609658806</v>
      </c>
      <c r="R319" s="39">
        <f>IF(ISNUMBER(Q319),IF(Q319&lt;=Finder!$D$7,1,0),0)</f>
        <v>0</v>
      </c>
      <c r="S319" s="39" t="str">
        <f>IF(R319=1,O319+ROW()*0.000000001,"")</f>
        <v/>
      </c>
      <c r="T319" s="39" t="str">
        <f>IF(O319&gt;0,INDEX(Calc!$B$4:$B$11,MATCH(MAX(G319:N319),G319:N319,0)),"-")</f>
        <v>Paddy Straw</v>
      </c>
    </row>
    <row r="320" spans="1:20">
      <c r="A320" s="39">
        <v>317</v>
      </c>
      <c r="B320" s="39" t="s">
        <v>389</v>
      </c>
      <c r="C320" s="39" t="s">
        <v>390</v>
      </c>
      <c r="D320" s="39" t="str">
        <f>B320&amp;"|"&amp;C320</f>
        <v>Ladakh|Kargil</v>
      </c>
      <c r="E320" s="40">
        <v>34.56</v>
      </c>
      <c r="F320" s="40">
        <v>76.13</v>
      </c>
      <c r="G320" s="41">
        <v>0</v>
      </c>
      <c r="H320" s="41">
        <v>0.9</v>
      </c>
      <c r="I320" s="41">
        <v>0</v>
      </c>
      <c r="J320" s="41">
        <v>1.5900000000000001E-2</v>
      </c>
      <c r="K320" s="41">
        <v>0</v>
      </c>
      <c r="L320" s="41">
        <v>0</v>
      </c>
      <c r="M320" s="41">
        <v>0</v>
      </c>
      <c r="N320" s="41">
        <v>0</v>
      </c>
      <c r="O320" s="42">
        <f>SUM(G320:N320)</f>
        <v>0.91590000000000005</v>
      </c>
      <c r="P320" s="42">
        <f>SUMPRODUCT(G320:N320,$G$2:$N$2)*1000/Assumptions!$C$15</f>
        <v>0.33457631788856307</v>
      </c>
      <c r="Q320" s="43">
        <f>IF(ISNUMBER(Finder!$G$5),Finder!$D$8*Assumptions!$C$16*2*ASIN(SQRT(SIN(RADIANS(E320-Finder!$G$5)/2)^2+COS(RADIANS(Finder!$G$5))*COS(RADIANS(E320))*SIN(RADIANS(F320-Finder!$G$6)/2)^2)),"")</f>
        <v>602.80760665408445</v>
      </c>
      <c r="R320" s="39">
        <f>IF(ISNUMBER(Q320),IF(Q320&lt;=Finder!$D$7,1,0),0)</f>
        <v>0</v>
      </c>
      <c r="S320" s="39" t="str">
        <f>IF(R320=1,O320+ROW()*0.000000001,"")</f>
        <v/>
      </c>
      <c r="T320" s="39" t="str">
        <f>IF(O320&gt;0,INDEX(Calc!$B$4:$B$11,MATCH(MAX(G320:N320),G320:N320,0)),"-")</f>
        <v>Wheat Straw</v>
      </c>
    </row>
    <row r="321" spans="1:20">
      <c r="A321" s="39">
        <v>318</v>
      </c>
      <c r="B321" s="39" t="s">
        <v>389</v>
      </c>
      <c r="C321" s="39" t="s">
        <v>391</v>
      </c>
      <c r="D321" s="39" t="str">
        <f>B321&amp;"|"&amp;C321</f>
        <v>Ladakh|Leh Ladakh</v>
      </c>
      <c r="E321" s="40">
        <v>34.15</v>
      </c>
      <c r="F321" s="40">
        <v>77.58</v>
      </c>
      <c r="G321" s="41">
        <v>0</v>
      </c>
      <c r="H321" s="41">
        <v>1.35</v>
      </c>
      <c r="I321" s="41">
        <v>0</v>
      </c>
      <c r="J321" s="41">
        <v>0.12920000000000001</v>
      </c>
      <c r="K321" s="41">
        <v>0</v>
      </c>
      <c r="L321" s="41">
        <v>0</v>
      </c>
      <c r="M321" s="41">
        <v>0</v>
      </c>
      <c r="N321" s="41">
        <v>0</v>
      </c>
      <c r="O321" s="42">
        <f>SUM(G321:N321)</f>
        <v>1.4792000000000001</v>
      </c>
      <c r="P321" s="42">
        <f>SUMPRODUCT(G321:N321,$G$2:$N$2)*1000/Assumptions!$C$15</f>
        <v>0.53285653137829914</v>
      </c>
      <c r="Q321" s="43">
        <f>IF(ISNUMBER(Finder!$G$5),Finder!$D$8*Assumptions!$C$16*2*ASIN(SQRT(SIN(RADIANS(E321-Finder!$G$5)/2)^2+COS(RADIANS(Finder!$G$5))*COS(RADIANS(E321))*SIN(RADIANS(F321-Finder!$G$6)/2)^2)),"")</f>
        <v>583.14891394382448</v>
      </c>
      <c r="R321" s="39">
        <f>IF(ISNUMBER(Q321),IF(Q321&lt;=Finder!$D$7,1,0),0)</f>
        <v>0</v>
      </c>
      <c r="S321" s="39" t="str">
        <f>IF(R321=1,O321+ROW()*0.000000001,"")</f>
        <v/>
      </c>
      <c r="T321" s="39" t="str">
        <f>IF(O321&gt;0,INDEX(Calc!$B$4:$B$11,MATCH(MAX(G321:N321),G321:N321,0)),"-")</f>
        <v>Wheat Straw</v>
      </c>
    </row>
    <row r="322" spans="1:20">
      <c r="A322" s="39">
        <v>319</v>
      </c>
      <c r="B322" s="39" t="s">
        <v>392</v>
      </c>
      <c r="C322" s="39" t="s">
        <v>393</v>
      </c>
      <c r="D322" s="39" t="str">
        <f>B322&amp;"|"&amp;C322</f>
        <v>Madhya Pradesh|Agar-Malwa</v>
      </c>
      <c r="E322" s="40">
        <v>23.71</v>
      </c>
      <c r="F322" s="40">
        <v>76.02</v>
      </c>
      <c r="G322" s="41">
        <v>0.42</v>
      </c>
      <c r="H322" s="41">
        <v>52.2</v>
      </c>
      <c r="I322" s="41">
        <v>3.2161</v>
      </c>
      <c r="J322" s="41">
        <v>5.6858000000000004</v>
      </c>
      <c r="K322" s="41">
        <v>0</v>
      </c>
      <c r="L322" s="41">
        <v>0</v>
      </c>
      <c r="M322" s="41">
        <v>128.99770000000001</v>
      </c>
      <c r="N322" s="41">
        <v>0</v>
      </c>
      <c r="O322" s="42">
        <f>SUM(G322:N322)</f>
        <v>190.51960000000003</v>
      </c>
      <c r="P322" s="42">
        <f>SUMPRODUCT(G322:N322,$G$2:$N$2)*1000/Assumptions!$C$15</f>
        <v>62.642898026979474</v>
      </c>
      <c r="Q322" s="43">
        <f>IF(ISNUMBER(Finder!$G$5),Finder!$D$8*Assumptions!$C$16*2*ASIN(SQRT(SIN(RADIANS(E322-Finder!$G$5)/2)^2+COS(RADIANS(Finder!$G$5))*COS(RADIANS(E322))*SIN(RADIANS(F322-Finder!$G$6)/2)^2)),"")</f>
        <v>605.63656764703603</v>
      </c>
      <c r="R322" s="39">
        <f>IF(ISNUMBER(Q322),IF(Q322&lt;=Finder!$D$7,1,0),0)</f>
        <v>0</v>
      </c>
      <c r="S322" s="39" t="str">
        <f>IF(R322=1,O322+ROW()*0.000000001,"")</f>
        <v/>
      </c>
      <c r="T322" s="39" t="str">
        <f>IF(O322&gt;0,INDEX(Calc!$B$4:$B$11,MATCH(MAX(G322:N322),G322:N322,0)),"-")</f>
        <v>Soya Trash</v>
      </c>
    </row>
    <row r="323" spans="1:20">
      <c r="A323" s="39">
        <v>320</v>
      </c>
      <c r="B323" s="39" t="s">
        <v>392</v>
      </c>
      <c r="C323" s="39" t="s">
        <v>394</v>
      </c>
      <c r="D323" s="39" t="str">
        <f>B323&amp;"|"&amp;C323</f>
        <v>Madhya Pradesh|Alirajpur</v>
      </c>
      <c r="E323" s="40">
        <v>22.31</v>
      </c>
      <c r="F323" s="40">
        <v>74.36</v>
      </c>
      <c r="G323" s="41">
        <v>2.52</v>
      </c>
      <c r="H323" s="41">
        <v>13.95</v>
      </c>
      <c r="I323" s="41">
        <v>44.426499999999997</v>
      </c>
      <c r="J323" s="41">
        <v>0.24809999999999999</v>
      </c>
      <c r="K323" s="41">
        <v>1.1000000000000001E-3</v>
      </c>
      <c r="L323" s="41">
        <v>1E-4</v>
      </c>
      <c r="M323" s="41">
        <v>35.438400000000001</v>
      </c>
      <c r="N323" s="41">
        <v>0</v>
      </c>
      <c r="O323" s="42">
        <f>SUM(G323:N323)</f>
        <v>96.58420000000001</v>
      </c>
      <c r="P323" s="42">
        <f>SUMPRODUCT(G323:N323,$G$2:$N$2)*1000/Assumptions!$C$15</f>
        <v>30.371011213782989</v>
      </c>
      <c r="Q323" s="43">
        <f>IF(ISNUMBER(Finder!$G$5),Finder!$D$8*Assumptions!$C$16*2*ASIN(SQRT(SIN(RADIANS(E323-Finder!$G$5)/2)^2+COS(RADIANS(Finder!$G$5))*COS(RADIANS(E323))*SIN(RADIANS(F323-Finder!$G$6)/2)^2)),"")</f>
        <v>772.65326650983252</v>
      </c>
      <c r="R323" s="39">
        <f>IF(ISNUMBER(Q323),IF(Q323&lt;=Finder!$D$7,1,0),0)</f>
        <v>0</v>
      </c>
      <c r="S323" s="39" t="str">
        <f>IF(R323=1,O323+ROW()*0.000000001,"")</f>
        <v/>
      </c>
      <c r="T323" s="39" t="str">
        <f>IF(O323&gt;0,INDEX(Calc!$B$4:$B$11,MATCH(MAX(G323:N323),G323:N323,0)),"-")</f>
        <v>Maize Stover</v>
      </c>
    </row>
    <row r="324" spans="1:20">
      <c r="A324" s="39">
        <v>321</v>
      </c>
      <c r="B324" s="39" t="s">
        <v>392</v>
      </c>
      <c r="C324" s="39" t="s">
        <v>395</v>
      </c>
      <c r="D324" s="39" t="str">
        <f>B324&amp;"|"&amp;C324</f>
        <v>Madhya Pradesh|Anuppur</v>
      </c>
      <c r="E324" s="40">
        <v>23.1</v>
      </c>
      <c r="F324" s="40">
        <v>81.69</v>
      </c>
      <c r="G324" s="41">
        <v>57.12</v>
      </c>
      <c r="H324" s="41">
        <v>4.95</v>
      </c>
      <c r="I324" s="41">
        <v>8.9297000000000004</v>
      </c>
      <c r="J324" s="41">
        <v>2.2808999999999999</v>
      </c>
      <c r="K324" s="41">
        <v>5.5999999999999999E-3</v>
      </c>
      <c r="L324" s="41">
        <v>6.9999999999999999E-4</v>
      </c>
      <c r="M324" s="41">
        <v>2.7046000000000001</v>
      </c>
      <c r="N324" s="41">
        <v>0</v>
      </c>
      <c r="O324" s="42">
        <f>SUM(G324:N324)</f>
        <v>75.991500000000002</v>
      </c>
      <c r="P324" s="42">
        <f>SUMPRODUCT(G324:N324,$G$2:$N$2)*1000/Assumptions!$C$15</f>
        <v>26.905893778592368</v>
      </c>
      <c r="Q324" s="43">
        <f>IF(ISNUMBER(Finder!$G$5),Finder!$D$8*Assumptions!$C$16*2*ASIN(SQRT(SIN(RADIANS(E324-Finder!$G$5)/2)^2+COS(RADIANS(Finder!$G$5))*COS(RADIANS(E324))*SIN(RADIANS(F324-Finder!$G$6)/2)^2)),"")</f>
        <v>898.42406634162694</v>
      </c>
      <c r="R324" s="39">
        <f>IF(ISNUMBER(Q324),IF(Q324&lt;=Finder!$D$7,1,0),0)</f>
        <v>0</v>
      </c>
      <c r="S324" s="39" t="str">
        <f>IF(R324=1,O324+ROW()*0.000000001,"")</f>
        <v/>
      </c>
      <c r="T324" s="39" t="str">
        <f>IF(O324&gt;0,INDEX(Calc!$B$4:$B$11,MATCH(MAX(G324:N324),G324:N324,0)),"-")</f>
        <v>Paddy Straw</v>
      </c>
    </row>
    <row r="325" spans="1:20">
      <c r="A325" s="39">
        <v>322</v>
      </c>
      <c r="B325" s="39" t="s">
        <v>392</v>
      </c>
      <c r="C325" s="39" t="s">
        <v>396</v>
      </c>
      <c r="D325" s="39" t="str">
        <f>B325&amp;"|"&amp;C325</f>
        <v>Madhya Pradesh|Ashoknagar</v>
      </c>
      <c r="E325" s="40">
        <v>24.58</v>
      </c>
      <c r="F325" s="40">
        <v>77.73</v>
      </c>
      <c r="G325" s="41">
        <v>15.96</v>
      </c>
      <c r="H325" s="41">
        <v>67.95</v>
      </c>
      <c r="I325" s="41">
        <v>8.0056999999999992</v>
      </c>
      <c r="J325" s="41">
        <v>54.8855</v>
      </c>
      <c r="K325" s="41">
        <v>8.5999999999999993E-2</v>
      </c>
      <c r="L325" s="41">
        <v>0.01</v>
      </c>
      <c r="M325" s="41">
        <v>182.09360000000001</v>
      </c>
      <c r="N325" s="41">
        <v>0</v>
      </c>
      <c r="O325" s="42">
        <f>SUM(G325:N325)</f>
        <v>328.99080000000004</v>
      </c>
      <c r="P325" s="42">
        <f>SUMPRODUCT(G325:N325,$G$2:$N$2)*1000/Assumptions!$C$15</f>
        <v>106.7902222451613</v>
      </c>
      <c r="Q325" s="43">
        <f>IF(ISNUMBER(Finder!$G$5),Finder!$D$8*Assumptions!$C$16*2*ASIN(SQRT(SIN(RADIANS(E325-Finder!$G$5)/2)^2+COS(RADIANS(Finder!$G$5))*COS(RADIANS(E325))*SIN(RADIANS(F325-Finder!$G$6)/2)^2)),"")</f>
        <v>545.84035231795588</v>
      </c>
      <c r="R325" s="39">
        <f>IF(ISNUMBER(Q325),IF(Q325&lt;=Finder!$D$7,1,0),0)</f>
        <v>0</v>
      </c>
      <c r="S325" s="39" t="str">
        <f>IF(R325=1,O325+ROW()*0.000000001,"")</f>
        <v/>
      </c>
      <c r="T325" s="39" t="str">
        <f>IF(O325&gt;0,INDEX(Calc!$B$4:$B$11,MATCH(MAX(G325:N325),G325:N325,0)),"-")</f>
        <v>Soya Trash</v>
      </c>
    </row>
    <row r="326" spans="1:20">
      <c r="A326" s="39">
        <v>323</v>
      </c>
      <c r="B326" s="39" t="s">
        <v>392</v>
      </c>
      <c r="C326" s="39" t="s">
        <v>397</v>
      </c>
      <c r="D326" s="39" t="str">
        <f>B326&amp;"|"&amp;C326</f>
        <v>Madhya Pradesh|Balaghat</v>
      </c>
      <c r="E326" s="40">
        <v>21.8</v>
      </c>
      <c r="F326" s="40">
        <v>80.180000000000007</v>
      </c>
      <c r="G326" s="41">
        <v>146.58000000000001</v>
      </c>
      <c r="H326" s="41">
        <v>11.7</v>
      </c>
      <c r="I326" s="41">
        <v>2.4653999999999998</v>
      </c>
      <c r="J326" s="41">
        <v>4.1147999999999998</v>
      </c>
      <c r="K326" s="41">
        <v>2.8003</v>
      </c>
      <c r="L326" s="41">
        <v>0.32669999999999999</v>
      </c>
      <c r="M326" s="41">
        <v>2.2700000000000001E-2</v>
      </c>
      <c r="N326" s="41">
        <v>0</v>
      </c>
      <c r="O326" s="42">
        <f>SUM(G326:N326)</f>
        <v>168.00989999999996</v>
      </c>
      <c r="P326" s="42">
        <f>SUMPRODUCT(G326:N326,$G$2:$N$2)*1000/Assumptions!$C$15</f>
        <v>60.875534760410567</v>
      </c>
      <c r="Q326" s="43">
        <f>IF(ISNUMBER(Finder!$G$5),Finder!$D$8*Assumptions!$C$16*2*ASIN(SQRT(SIN(RADIANS(E326-Finder!$G$5)/2)^2+COS(RADIANS(Finder!$G$5))*COS(RADIANS(E326))*SIN(RADIANS(F326-Finder!$G$6)/2)^2)),"")</f>
        <v>931.61986625152019</v>
      </c>
      <c r="R326" s="39">
        <f>IF(ISNUMBER(Q326),IF(Q326&lt;=Finder!$D$7,1,0),0)</f>
        <v>0</v>
      </c>
      <c r="S326" s="39" t="str">
        <f>IF(R326=1,O326+ROW()*0.000000001,"")</f>
        <v/>
      </c>
      <c r="T326" s="39" t="str">
        <f>IF(O326&gt;0,INDEX(Calc!$B$4:$B$11,MATCH(MAX(G326:N326),G326:N326,0)),"-")</f>
        <v>Paddy Straw</v>
      </c>
    </row>
    <row r="327" spans="1:20">
      <c r="A327" s="39">
        <v>324</v>
      </c>
      <c r="B327" s="39" t="s">
        <v>392</v>
      </c>
      <c r="C327" s="39" t="s">
        <v>398</v>
      </c>
      <c r="D327" s="39" t="str">
        <f>B327&amp;"|"&amp;C327</f>
        <v>Madhya Pradesh|Barwani</v>
      </c>
      <c r="E327" s="40">
        <v>22.03</v>
      </c>
      <c r="F327" s="40">
        <v>74.900000000000006</v>
      </c>
      <c r="G327" s="41">
        <v>0.42</v>
      </c>
      <c r="H327" s="41">
        <v>31.5</v>
      </c>
      <c r="I327" s="41">
        <v>115.08839999999999</v>
      </c>
      <c r="J327" s="41">
        <v>0.31909999999999999</v>
      </c>
      <c r="K327" s="41">
        <v>6.4337</v>
      </c>
      <c r="L327" s="41">
        <v>0.75060000000000004</v>
      </c>
      <c r="M327" s="41">
        <v>43.134900000000002</v>
      </c>
      <c r="N327" s="41">
        <v>0</v>
      </c>
      <c r="O327" s="42">
        <f>SUM(G327:N327)</f>
        <v>197.64669999999995</v>
      </c>
      <c r="P327" s="42">
        <f>SUMPRODUCT(G327:N327,$G$2:$N$2)*1000/Assumptions!$C$15</f>
        <v>61.373522317302047</v>
      </c>
      <c r="Q327" s="43">
        <f>IF(ISNUMBER(Finder!$G$5),Finder!$D$8*Assumptions!$C$16*2*ASIN(SQRT(SIN(RADIANS(E327-Finder!$G$5)/2)^2+COS(RADIANS(Finder!$G$5))*COS(RADIANS(E327))*SIN(RADIANS(F327-Finder!$G$6)/2)^2)),"")</f>
        <v>795.95814686156052</v>
      </c>
      <c r="R327" s="39">
        <f>IF(ISNUMBER(Q327),IF(Q327&lt;=Finder!$D$7,1,0),0)</f>
        <v>0</v>
      </c>
      <c r="S327" s="39" t="str">
        <f>IF(R327=1,O327+ROW()*0.000000001,"")</f>
        <v/>
      </c>
      <c r="T327" s="39" t="str">
        <f>IF(O327&gt;0,INDEX(Calc!$B$4:$B$11,MATCH(MAX(G327:N327),G327:N327,0)),"-")</f>
        <v>Maize Stover</v>
      </c>
    </row>
    <row r="328" spans="1:20">
      <c r="A328" s="39">
        <v>325</v>
      </c>
      <c r="B328" s="39" t="s">
        <v>392</v>
      </c>
      <c r="C328" s="39" t="s">
        <v>399</v>
      </c>
      <c r="D328" s="39" t="str">
        <f>B328&amp;"|"&amp;C328</f>
        <v>Madhya Pradesh|Betul</v>
      </c>
      <c r="E328" s="40">
        <v>21.9</v>
      </c>
      <c r="F328" s="40">
        <v>77.900000000000006</v>
      </c>
      <c r="G328" s="41">
        <v>16.8</v>
      </c>
      <c r="H328" s="41">
        <v>89.55</v>
      </c>
      <c r="I328" s="41">
        <v>306.83569999999997</v>
      </c>
      <c r="J328" s="41">
        <v>4.0350999999999999</v>
      </c>
      <c r="K328" s="41">
        <v>30.2242</v>
      </c>
      <c r="L328" s="41">
        <v>3.5261999999999998</v>
      </c>
      <c r="M328" s="41">
        <v>193.1318</v>
      </c>
      <c r="N328" s="41">
        <v>0</v>
      </c>
      <c r="O328" s="42">
        <f>SUM(G328:N328)</f>
        <v>644.10300000000007</v>
      </c>
      <c r="P328" s="42">
        <f>SUMPRODUCT(G328:N328,$G$2:$N$2)*1000/Assumptions!$C$15</f>
        <v>201.29359070205277</v>
      </c>
      <c r="Q328" s="43">
        <f>IF(ISNUMBER(Finder!$G$5),Finder!$D$8*Assumptions!$C$16*2*ASIN(SQRT(SIN(RADIANS(E328-Finder!$G$5)/2)^2+COS(RADIANS(Finder!$G$5))*COS(RADIANS(E328))*SIN(RADIANS(F328-Finder!$G$6)/2)^2)),"")</f>
        <v>835.24852134697915</v>
      </c>
      <c r="R328" s="39">
        <f>IF(ISNUMBER(Q328),IF(Q328&lt;=Finder!$D$7,1,0),0)</f>
        <v>0</v>
      </c>
      <c r="S328" s="39" t="str">
        <f>IF(R328=1,O328+ROW()*0.000000001,"")</f>
        <v/>
      </c>
      <c r="T328" s="39" t="str">
        <f>IF(O328&gt;0,INDEX(Calc!$B$4:$B$11,MATCH(MAX(G328:N328),G328:N328,0)),"-")</f>
        <v>Maize Stover</v>
      </c>
    </row>
    <row r="329" spans="1:20">
      <c r="A329" s="39">
        <v>326</v>
      </c>
      <c r="B329" s="39" t="s">
        <v>392</v>
      </c>
      <c r="C329" s="39" t="s">
        <v>400</v>
      </c>
      <c r="D329" s="39" t="str">
        <f>B329&amp;"|"&amp;C329</f>
        <v>Madhya Pradesh|Bhind</v>
      </c>
      <c r="E329" s="40">
        <v>26.56</v>
      </c>
      <c r="F329" s="40">
        <v>78.78</v>
      </c>
      <c r="G329" s="41">
        <v>17.64</v>
      </c>
      <c r="H329" s="41">
        <v>52.65</v>
      </c>
      <c r="I329" s="41">
        <v>0</v>
      </c>
      <c r="J329" s="41">
        <v>293.12529999999998</v>
      </c>
      <c r="K329" s="41">
        <v>8.8000000000000005E-3</v>
      </c>
      <c r="L329" s="41">
        <v>1E-3</v>
      </c>
      <c r="M329" s="41">
        <v>4.2000000000000003E-2</v>
      </c>
      <c r="N329" s="41">
        <v>0</v>
      </c>
      <c r="O329" s="42">
        <f>SUM(G329:N329)</f>
        <v>363.46709999999996</v>
      </c>
      <c r="P329" s="42">
        <f>SUMPRODUCT(G329:N329,$G$2:$N$2)*1000/Assumptions!$C$15</f>
        <v>112.01336553372434</v>
      </c>
      <c r="Q329" s="43">
        <f>IF(ISNUMBER(Finder!$G$5),Finder!$D$8*Assumptions!$C$16*2*ASIN(SQRT(SIN(RADIANS(E329-Finder!$G$5)/2)^2+COS(RADIANS(Finder!$G$5))*COS(RADIANS(E329))*SIN(RADIANS(F329-Finder!$G$6)/2)^2)),"")</f>
        <v>416.42270389043665</v>
      </c>
      <c r="R329" s="39">
        <f>IF(ISNUMBER(Q329),IF(Q329&lt;=Finder!$D$7,1,0),0)</f>
        <v>0</v>
      </c>
      <c r="S329" s="39" t="str">
        <f>IF(R329=1,O329+ROW()*0.000000001,"")</f>
        <v/>
      </c>
      <c r="T329" s="39" t="str">
        <f>IF(O329&gt;0,INDEX(Calc!$B$4:$B$11,MATCH(MAX(G329:N329),G329:N329,0)),"-")</f>
        <v>Mustard Stalk</v>
      </c>
    </row>
    <row r="330" spans="1:20">
      <c r="A330" s="39">
        <v>327</v>
      </c>
      <c r="B330" s="39" t="s">
        <v>392</v>
      </c>
      <c r="C330" s="39" t="s">
        <v>401</v>
      </c>
      <c r="D330" s="39" t="str">
        <f>B330&amp;"|"&amp;C330</f>
        <v>Madhya Pradesh|Bhopal</v>
      </c>
      <c r="E330" s="40">
        <v>23.26</v>
      </c>
      <c r="F330" s="40">
        <v>77.41</v>
      </c>
      <c r="G330" s="41">
        <v>13.02</v>
      </c>
      <c r="H330" s="41">
        <v>51.75</v>
      </c>
      <c r="I330" s="41">
        <v>4.1821999999999999</v>
      </c>
      <c r="J330" s="41">
        <v>1.3628</v>
      </c>
      <c r="K330" s="41">
        <v>1.2999999999999999E-2</v>
      </c>
      <c r="L330" s="41">
        <v>1.5E-3</v>
      </c>
      <c r="M330" s="41">
        <v>117.2867</v>
      </c>
      <c r="N330" s="41">
        <v>0</v>
      </c>
      <c r="O330" s="42">
        <f>SUM(G330:N330)</f>
        <v>187.61619999999999</v>
      </c>
      <c r="P330" s="42">
        <f>SUMPRODUCT(G330:N330,$G$2:$N$2)*1000/Assumptions!$C$15</f>
        <v>62.415032871847515</v>
      </c>
      <c r="Q330" s="43">
        <f>IF(ISNUMBER(Finder!$G$5),Finder!$D$8*Assumptions!$C$16*2*ASIN(SQRT(SIN(RADIANS(E330-Finder!$G$5)/2)^2+COS(RADIANS(Finder!$G$5))*COS(RADIANS(E330))*SIN(RADIANS(F330-Finder!$G$6)/2)^2)),"")</f>
        <v>676.26026512349006</v>
      </c>
      <c r="R330" s="39">
        <f>IF(ISNUMBER(Q330),IF(Q330&lt;=Finder!$D$7,1,0),0)</f>
        <v>0</v>
      </c>
      <c r="S330" s="39" t="str">
        <f>IF(R330=1,O330+ROW()*0.000000001,"")</f>
        <v/>
      </c>
      <c r="T330" s="39" t="str">
        <f>IF(O330&gt;0,INDEX(Calc!$B$4:$B$11,MATCH(MAX(G330:N330),G330:N330,0)),"-")</f>
        <v>Soya Trash</v>
      </c>
    </row>
    <row r="331" spans="1:20">
      <c r="A331" s="39">
        <v>328</v>
      </c>
      <c r="B331" s="39" t="s">
        <v>392</v>
      </c>
      <c r="C331" s="39" t="s">
        <v>402</v>
      </c>
      <c r="D331" s="39" t="str">
        <f>B331&amp;"|"&amp;C331</f>
        <v>Madhya Pradesh|Burhanpur</v>
      </c>
      <c r="E331" s="40">
        <v>21.31</v>
      </c>
      <c r="F331" s="40">
        <v>76.23</v>
      </c>
      <c r="G331" s="41">
        <v>0.42</v>
      </c>
      <c r="H331" s="41">
        <v>4.5</v>
      </c>
      <c r="I331" s="41">
        <v>28.570499999999999</v>
      </c>
      <c r="J331" s="41">
        <v>0.25169999999999998</v>
      </c>
      <c r="K331" s="41">
        <v>6.3301999999999996</v>
      </c>
      <c r="L331" s="41">
        <v>0.73850000000000005</v>
      </c>
      <c r="M331" s="41">
        <v>14.574</v>
      </c>
      <c r="N331" s="41">
        <v>0</v>
      </c>
      <c r="O331" s="42">
        <f>SUM(G331:N331)</f>
        <v>55.384899999999995</v>
      </c>
      <c r="P331" s="42">
        <f>SUMPRODUCT(G331:N331,$G$2:$N$2)*1000/Assumptions!$C$15</f>
        <v>16.951723670087976</v>
      </c>
      <c r="Q331" s="43">
        <f>IF(ISNUMBER(Finder!$G$5),Finder!$D$8*Assumptions!$C$16*2*ASIN(SQRT(SIN(RADIANS(E331-Finder!$G$5)/2)^2+COS(RADIANS(Finder!$G$5))*COS(RADIANS(E331))*SIN(RADIANS(F331-Finder!$G$6)/2)^2)),"")</f>
        <v>873.27237041895125</v>
      </c>
      <c r="R331" s="39">
        <f>IF(ISNUMBER(Q331),IF(Q331&lt;=Finder!$D$7,1,0),0)</f>
        <v>0</v>
      </c>
      <c r="S331" s="39" t="str">
        <f>IF(R331=1,O331+ROW()*0.000000001,"")</f>
        <v/>
      </c>
      <c r="T331" s="39" t="str">
        <f>IF(O331&gt;0,INDEX(Calc!$B$4:$B$11,MATCH(MAX(G331:N331),G331:N331,0)),"-")</f>
        <v>Maize Stover</v>
      </c>
    </row>
    <row r="332" spans="1:20">
      <c r="A332" s="39">
        <v>329</v>
      </c>
      <c r="B332" s="39" t="s">
        <v>392</v>
      </c>
      <c r="C332" s="39" t="s">
        <v>403</v>
      </c>
      <c r="D332" s="39" t="str">
        <f>B332&amp;"|"&amp;C332</f>
        <v>Madhya Pradesh|Chhatarpur</v>
      </c>
      <c r="E332" s="40">
        <v>24.92</v>
      </c>
      <c r="F332" s="40">
        <v>79.58</v>
      </c>
      <c r="G332" s="41">
        <v>1.68</v>
      </c>
      <c r="H332" s="41">
        <v>113.4</v>
      </c>
      <c r="I332" s="41">
        <v>0.28510000000000002</v>
      </c>
      <c r="J332" s="41">
        <v>46.657800000000002</v>
      </c>
      <c r="K332" s="41">
        <v>1.0999999999999999E-2</v>
      </c>
      <c r="L332" s="41">
        <v>1.2999999999999999E-3</v>
      </c>
      <c r="M332" s="41">
        <v>5.3410000000000002</v>
      </c>
      <c r="N332" s="41">
        <v>0</v>
      </c>
      <c r="O332" s="42">
        <f>SUM(G332:N332)</f>
        <v>167.37620000000001</v>
      </c>
      <c r="P332" s="42">
        <f>SUMPRODUCT(G332:N332,$G$2:$N$2)*1000/Assumptions!$C$15</f>
        <v>57.68303311524928</v>
      </c>
      <c r="Q332" s="43">
        <f>IF(ISNUMBER(Finder!$G$5),Finder!$D$8*Assumptions!$C$16*2*ASIN(SQRT(SIN(RADIANS(E332-Finder!$G$5)/2)^2+COS(RADIANS(Finder!$G$5))*COS(RADIANS(E332))*SIN(RADIANS(F332-Finder!$G$6)/2)^2)),"")</f>
        <v>606.02484455246815</v>
      </c>
      <c r="R332" s="39">
        <f>IF(ISNUMBER(Q332),IF(Q332&lt;=Finder!$D$7,1,0),0)</f>
        <v>0</v>
      </c>
      <c r="S332" s="39" t="str">
        <f>IF(R332=1,O332+ROW()*0.000000001,"")</f>
        <v/>
      </c>
      <c r="T332" s="39" t="str">
        <f>IF(O332&gt;0,INDEX(Calc!$B$4:$B$11,MATCH(MAX(G332:N332),G332:N332,0)),"-")</f>
        <v>Wheat Straw</v>
      </c>
    </row>
    <row r="333" spans="1:20">
      <c r="A333" s="39">
        <v>330</v>
      </c>
      <c r="B333" s="39" t="s">
        <v>392</v>
      </c>
      <c r="C333" s="39" t="s">
        <v>404</v>
      </c>
      <c r="D333" s="39" t="str">
        <f>B333&amp;"|"&amp;C333</f>
        <v>Madhya Pradesh|Chhindwara</v>
      </c>
      <c r="E333" s="40">
        <v>22.06</v>
      </c>
      <c r="F333" s="40">
        <v>78.94</v>
      </c>
      <c r="G333" s="41">
        <v>10.5</v>
      </c>
      <c r="H333" s="41">
        <v>91.35</v>
      </c>
      <c r="I333" s="41">
        <v>688.92340000000002</v>
      </c>
      <c r="J333" s="41">
        <v>2.6238999999999999</v>
      </c>
      <c r="K333" s="41">
        <v>6.5075000000000003</v>
      </c>
      <c r="L333" s="41">
        <v>0.75919999999999999</v>
      </c>
      <c r="M333" s="41">
        <v>26.532599999999999</v>
      </c>
      <c r="N333" s="41">
        <v>0</v>
      </c>
      <c r="O333" s="42">
        <f>SUM(G333:N333)</f>
        <v>827.1966000000001</v>
      </c>
      <c r="P333" s="42">
        <f>SUMPRODUCT(G333:N333,$G$2:$N$2)*1000/Assumptions!$C$15</f>
        <v>251.27779052434013</v>
      </c>
      <c r="Q333" s="43">
        <f>IF(ISNUMBER(Finder!$G$5),Finder!$D$8*Assumptions!$C$16*2*ASIN(SQRT(SIN(RADIANS(E333-Finder!$G$5)/2)^2+COS(RADIANS(Finder!$G$5))*COS(RADIANS(E333))*SIN(RADIANS(F333-Finder!$G$6)/2)^2)),"")</f>
        <v>851.79547920654954</v>
      </c>
      <c r="R333" s="39">
        <f>IF(ISNUMBER(Q333),IF(Q333&lt;=Finder!$D$7,1,0),0)</f>
        <v>0</v>
      </c>
      <c r="S333" s="39" t="str">
        <f>IF(R333=1,O333+ROW()*0.000000001,"")</f>
        <v/>
      </c>
      <c r="T333" s="39" t="str">
        <f>IF(O333&gt;0,INDEX(Calc!$B$4:$B$11,MATCH(MAX(G333:N333),G333:N333,0)),"-")</f>
        <v>Maize Stover</v>
      </c>
    </row>
    <row r="334" spans="1:20">
      <c r="A334" s="39">
        <v>331</v>
      </c>
      <c r="B334" s="39" t="s">
        <v>392</v>
      </c>
      <c r="C334" s="39" t="s">
        <v>405</v>
      </c>
      <c r="D334" s="39" t="str">
        <f>B334&amp;"|"&amp;C334</f>
        <v>Madhya Pradesh|Damoh</v>
      </c>
      <c r="E334" s="40">
        <v>23.83</v>
      </c>
      <c r="F334" s="40">
        <v>79.44</v>
      </c>
      <c r="G334" s="41">
        <v>35.28</v>
      </c>
      <c r="H334" s="41">
        <v>62.1</v>
      </c>
      <c r="I334" s="41">
        <v>3.2008999999999999</v>
      </c>
      <c r="J334" s="41">
        <v>2.8273000000000001</v>
      </c>
      <c r="K334" s="41">
        <v>3.56E-2</v>
      </c>
      <c r="L334" s="41">
        <v>4.1999999999999997E-3</v>
      </c>
      <c r="M334" s="41">
        <v>17.8491</v>
      </c>
      <c r="N334" s="41">
        <v>0</v>
      </c>
      <c r="O334" s="42">
        <f>SUM(G334:N334)</f>
        <v>121.2971</v>
      </c>
      <c r="P334" s="42">
        <f>SUMPRODUCT(G334:N334,$G$2:$N$2)*1000/Assumptions!$C$15</f>
        <v>43.116616828739005</v>
      </c>
      <c r="Q334" s="43">
        <f>IF(ISNUMBER(Finder!$G$5),Finder!$D$8*Assumptions!$C$16*2*ASIN(SQRT(SIN(RADIANS(E334-Finder!$G$5)/2)^2+COS(RADIANS(Finder!$G$5))*COS(RADIANS(E334))*SIN(RADIANS(F334-Finder!$G$6)/2)^2)),"")</f>
        <v>697.72426280038917</v>
      </c>
      <c r="R334" s="39">
        <f>IF(ISNUMBER(Q334),IF(Q334&lt;=Finder!$D$7,1,0),0)</f>
        <v>0</v>
      </c>
      <c r="S334" s="39" t="str">
        <f>IF(R334=1,O334+ROW()*0.000000001,"")</f>
        <v/>
      </c>
      <c r="T334" s="39" t="str">
        <f>IF(O334&gt;0,INDEX(Calc!$B$4:$B$11,MATCH(MAX(G334:N334),G334:N334,0)),"-")</f>
        <v>Wheat Straw</v>
      </c>
    </row>
    <row r="335" spans="1:20">
      <c r="A335" s="39">
        <v>332</v>
      </c>
      <c r="B335" s="39" t="s">
        <v>392</v>
      </c>
      <c r="C335" s="39" t="s">
        <v>406</v>
      </c>
      <c r="D335" s="39" t="str">
        <f>B335&amp;"|"&amp;C335</f>
        <v>Madhya Pradesh|Datia</v>
      </c>
      <c r="E335" s="40">
        <v>25.67</v>
      </c>
      <c r="F335" s="40">
        <v>78.459999999999994</v>
      </c>
      <c r="G335" s="41">
        <v>42</v>
      </c>
      <c r="H335" s="41">
        <v>65.7</v>
      </c>
      <c r="I335" s="41">
        <v>0</v>
      </c>
      <c r="J335" s="41">
        <v>20.083300000000001</v>
      </c>
      <c r="K335" s="41">
        <v>7.4599000000000002</v>
      </c>
      <c r="L335" s="41">
        <v>0.87029999999999996</v>
      </c>
      <c r="M335" s="41">
        <v>7.4399999999999994E-2</v>
      </c>
      <c r="N335" s="41">
        <v>0</v>
      </c>
      <c r="O335" s="42">
        <f>SUM(G335:N335)</f>
        <v>136.18789999999998</v>
      </c>
      <c r="P335" s="42">
        <f>SUMPRODUCT(G335:N335,$G$2:$N$2)*1000/Assumptions!$C$15</f>
        <v>47.845414207917891</v>
      </c>
      <c r="Q335" s="43">
        <f>IF(ISNUMBER(Finder!$G$5),Finder!$D$8*Assumptions!$C$16*2*ASIN(SQRT(SIN(RADIANS(E335-Finder!$G$5)/2)^2+COS(RADIANS(Finder!$G$5))*COS(RADIANS(E335))*SIN(RADIANS(F335-Finder!$G$6)/2)^2)),"")</f>
        <v>472.06685873783084</v>
      </c>
      <c r="R335" s="39">
        <f>IF(ISNUMBER(Q335),IF(Q335&lt;=Finder!$D$7,1,0),0)</f>
        <v>0</v>
      </c>
      <c r="S335" s="39" t="str">
        <f>IF(R335=1,O335+ROW()*0.000000001,"")</f>
        <v/>
      </c>
      <c r="T335" s="39" t="str">
        <f>IF(O335&gt;0,INDEX(Calc!$B$4:$B$11,MATCH(MAX(G335:N335),G335:N335,0)),"-")</f>
        <v>Wheat Straw</v>
      </c>
    </row>
    <row r="336" spans="1:20">
      <c r="A336" s="39">
        <v>333</v>
      </c>
      <c r="B336" s="39" t="s">
        <v>392</v>
      </c>
      <c r="C336" s="39" t="s">
        <v>407</v>
      </c>
      <c r="D336" s="39" t="str">
        <f>B336&amp;"|"&amp;C336</f>
        <v>Madhya Pradesh|Dewas</v>
      </c>
      <c r="E336" s="40">
        <v>22.97</v>
      </c>
      <c r="F336" s="40">
        <v>76.05</v>
      </c>
      <c r="G336" s="41">
        <v>0.42</v>
      </c>
      <c r="H336" s="41">
        <v>108.45</v>
      </c>
      <c r="I336" s="41">
        <v>32.001399999999997</v>
      </c>
      <c r="J336" s="41">
        <v>0.60329999999999995</v>
      </c>
      <c r="K336" s="41">
        <v>4.2700000000000002E-2</v>
      </c>
      <c r="L336" s="41">
        <v>5.0000000000000001E-3</v>
      </c>
      <c r="M336" s="41">
        <v>349.24400000000003</v>
      </c>
      <c r="N336" s="41">
        <v>0</v>
      </c>
      <c r="O336" s="42">
        <f>SUM(G336:N336)</f>
        <v>490.76639999999998</v>
      </c>
      <c r="P336" s="42">
        <f>SUMPRODUCT(G336:N336,$G$2:$N$2)*1000/Assumptions!$C$15</f>
        <v>159.79977973900296</v>
      </c>
      <c r="Q336" s="43">
        <f>IF(ISNUMBER(Finder!$G$5),Finder!$D$8*Assumptions!$C$16*2*ASIN(SQRT(SIN(RADIANS(E336-Finder!$G$5)/2)^2+COS(RADIANS(Finder!$G$5))*COS(RADIANS(E336))*SIN(RADIANS(F336-Finder!$G$6)/2)^2)),"")</f>
        <v>687.97350130301368</v>
      </c>
      <c r="R336" s="39">
        <f>IF(ISNUMBER(Q336),IF(Q336&lt;=Finder!$D$7,1,0),0)</f>
        <v>0</v>
      </c>
      <c r="S336" s="39" t="str">
        <f>IF(R336=1,O336+ROW()*0.000000001,"")</f>
        <v/>
      </c>
      <c r="T336" s="39" t="str">
        <f>IF(O336&gt;0,INDEX(Calc!$B$4:$B$11,MATCH(MAX(G336:N336),G336:N336,0)),"-")</f>
        <v>Soya Trash</v>
      </c>
    </row>
    <row r="337" spans="1:20">
      <c r="A337" s="39">
        <v>334</v>
      </c>
      <c r="B337" s="39" t="s">
        <v>392</v>
      </c>
      <c r="C337" s="39" t="s">
        <v>408</v>
      </c>
      <c r="D337" s="39" t="str">
        <f>B337&amp;"|"&amp;C337</f>
        <v>Madhya Pradesh|Dhar</v>
      </c>
      <c r="E337" s="40">
        <v>22.6</v>
      </c>
      <c r="F337" s="40">
        <v>75.3</v>
      </c>
      <c r="G337" s="41">
        <v>0.42</v>
      </c>
      <c r="H337" s="41">
        <v>117.45</v>
      </c>
      <c r="I337" s="41">
        <v>87.087999999999994</v>
      </c>
      <c r="J337" s="41">
        <v>0.43919999999999998</v>
      </c>
      <c r="K337" s="41">
        <v>3.6652</v>
      </c>
      <c r="L337" s="41">
        <v>0.42759999999999998</v>
      </c>
      <c r="M337" s="41">
        <v>463.75700000000001</v>
      </c>
      <c r="N337" s="41">
        <v>0</v>
      </c>
      <c r="O337" s="42">
        <f>SUM(G337:N337)</f>
        <v>673.24700000000007</v>
      </c>
      <c r="P337" s="42">
        <f>SUMPRODUCT(G337:N337,$G$2:$N$2)*1000/Assumptions!$C$15</f>
        <v>216.60075322228741</v>
      </c>
      <c r="Q337" s="43">
        <f>IF(ISNUMBER(Finder!$G$5),Finder!$D$8*Assumptions!$C$16*2*ASIN(SQRT(SIN(RADIANS(E337-Finder!$G$5)/2)^2+COS(RADIANS(Finder!$G$5))*COS(RADIANS(E337))*SIN(RADIANS(F337-Finder!$G$6)/2)^2)),"")</f>
        <v>729.53565637214626</v>
      </c>
      <c r="R337" s="39">
        <f>IF(ISNUMBER(Q337),IF(Q337&lt;=Finder!$D$7,1,0),0)</f>
        <v>0</v>
      </c>
      <c r="S337" s="39" t="str">
        <f>IF(R337=1,O337+ROW()*0.000000001,"")</f>
        <v/>
      </c>
      <c r="T337" s="39" t="str">
        <f>IF(O337&gt;0,INDEX(Calc!$B$4:$B$11,MATCH(MAX(G337:N337),G337:N337,0)),"-")</f>
        <v>Soya Trash</v>
      </c>
    </row>
    <row r="338" spans="1:20">
      <c r="A338" s="39">
        <v>335</v>
      </c>
      <c r="B338" s="39" t="s">
        <v>392</v>
      </c>
      <c r="C338" s="39" t="s">
        <v>409</v>
      </c>
      <c r="D338" s="39" t="str">
        <f>B338&amp;"|"&amp;C338</f>
        <v>Madhya Pradesh|Dindori</v>
      </c>
      <c r="E338" s="40">
        <v>22.94</v>
      </c>
      <c r="F338" s="40">
        <v>81.08</v>
      </c>
      <c r="G338" s="41">
        <v>55.44</v>
      </c>
      <c r="H338" s="41">
        <v>14.85</v>
      </c>
      <c r="I338" s="41">
        <v>20.035599999999999</v>
      </c>
      <c r="J338" s="41">
        <v>6.1696999999999997</v>
      </c>
      <c r="K338" s="41">
        <v>8.0999999999999996E-3</v>
      </c>
      <c r="L338" s="41">
        <v>8.9999999999999998E-4</v>
      </c>
      <c r="M338" s="41">
        <v>5.0006000000000004</v>
      </c>
      <c r="N338" s="41">
        <v>0</v>
      </c>
      <c r="O338" s="42">
        <f>SUM(G338:N338)</f>
        <v>101.50490000000001</v>
      </c>
      <c r="P338" s="42">
        <f>SUMPRODUCT(G338:N338,$G$2:$N$2)*1000/Assumptions!$C$15</f>
        <v>35.055994499413487</v>
      </c>
      <c r="Q338" s="43">
        <f>IF(ISNUMBER(Finder!$G$5),Finder!$D$8*Assumptions!$C$16*2*ASIN(SQRT(SIN(RADIANS(E338-Finder!$G$5)/2)^2+COS(RADIANS(Finder!$G$5))*COS(RADIANS(E338))*SIN(RADIANS(F338-Finder!$G$6)/2)^2)),"")</f>
        <v>873.51880531564495</v>
      </c>
      <c r="R338" s="39">
        <f>IF(ISNUMBER(Q338),IF(Q338&lt;=Finder!$D$7,1,0),0)</f>
        <v>0</v>
      </c>
      <c r="S338" s="39" t="str">
        <f>IF(R338=1,O338+ROW()*0.000000001,"")</f>
        <v/>
      </c>
      <c r="T338" s="39" t="str">
        <f>IF(O338&gt;0,INDEX(Calc!$B$4:$B$11,MATCH(MAX(G338:N338),G338:N338,0)),"-")</f>
        <v>Paddy Straw</v>
      </c>
    </row>
    <row r="339" spans="1:20">
      <c r="A339" s="39">
        <v>336</v>
      </c>
      <c r="B339" s="39" t="s">
        <v>392</v>
      </c>
      <c r="C339" s="39" t="s">
        <v>410</v>
      </c>
      <c r="D339" s="39" t="str">
        <f>B339&amp;"|"&amp;C339</f>
        <v>Madhya Pradesh|Guna</v>
      </c>
      <c r="E339" s="40">
        <v>24.65</v>
      </c>
      <c r="F339" s="40">
        <v>77.31</v>
      </c>
      <c r="G339" s="41">
        <v>4.62</v>
      </c>
      <c r="H339" s="41">
        <v>85.95</v>
      </c>
      <c r="I339" s="41">
        <v>126.3691</v>
      </c>
      <c r="J339" s="41">
        <v>79.089100000000002</v>
      </c>
      <c r="K339" s="41">
        <v>3.2000000000000001E-2</v>
      </c>
      <c r="L339" s="41">
        <v>3.7000000000000002E-3</v>
      </c>
      <c r="M339" s="41">
        <v>198.3398</v>
      </c>
      <c r="N339" s="41">
        <v>0</v>
      </c>
      <c r="O339" s="42">
        <f>SUM(G339:N339)</f>
        <v>494.40369999999996</v>
      </c>
      <c r="P339" s="42">
        <f>SUMPRODUCT(G339:N339,$G$2:$N$2)*1000/Assumptions!$C$15</f>
        <v>156.28482908944284</v>
      </c>
      <c r="Q339" s="43">
        <f>IF(ISNUMBER(Finder!$G$5),Finder!$D$8*Assumptions!$C$16*2*ASIN(SQRT(SIN(RADIANS(E339-Finder!$G$5)/2)^2+COS(RADIANS(Finder!$G$5))*COS(RADIANS(E339))*SIN(RADIANS(F339-Finder!$G$6)/2)^2)),"")</f>
        <v>524.60850237305522</v>
      </c>
      <c r="R339" s="39">
        <f>IF(ISNUMBER(Q339),IF(Q339&lt;=Finder!$D$7,1,0),0)</f>
        <v>0</v>
      </c>
      <c r="S339" s="39" t="str">
        <f>IF(R339=1,O339+ROW()*0.000000001,"")</f>
        <v/>
      </c>
      <c r="T339" s="39" t="str">
        <f>IF(O339&gt;0,INDEX(Calc!$B$4:$B$11,MATCH(MAX(G339:N339),G339:N339,0)),"-")</f>
        <v>Soya Trash</v>
      </c>
    </row>
    <row r="340" spans="1:20">
      <c r="A340" s="39">
        <v>337</v>
      </c>
      <c r="B340" s="39" t="s">
        <v>392</v>
      </c>
      <c r="C340" s="39" t="s">
        <v>411</v>
      </c>
      <c r="D340" s="39" t="str">
        <f>B340&amp;"|"&amp;C340</f>
        <v>Madhya Pradesh|Gwalior</v>
      </c>
      <c r="E340" s="40">
        <v>26.22</v>
      </c>
      <c r="F340" s="40">
        <v>78.180000000000007</v>
      </c>
      <c r="G340" s="41">
        <v>46.2</v>
      </c>
      <c r="H340" s="41">
        <v>58.05</v>
      </c>
      <c r="I340" s="41">
        <v>0</v>
      </c>
      <c r="J340" s="41">
        <v>67.534300000000002</v>
      </c>
      <c r="K340" s="41">
        <v>0.49909999999999999</v>
      </c>
      <c r="L340" s="41">
        <v>5.8200000000000002E-2</v>
      </c>
      <c r="M340" s="41">
        <v>0.52410000000000001</v>
      </c>
      <c r="N340" s="41">
        <v>0</v>
      </c>
      <c r="O340" s="42">
        <f>SUM(G340:N340)</f>
        <v>172.8657</v>
      </c>
      <c r="P340" s="42">
        <f>SUMPRODUCT(G340:N340,$G$2:$N$2)*1000/Assumptions!$C$15</f>
        <v>58.409117073900291</v>
      </c>
      <c r="Q340" s="43">
        <f>IF(ISNUMBER(Finder!$G$5),Finder!$D$8*Assumptions!$C$16*2*ASIN(SQRT(SIN(RADIANS(E340-Finder!$G$5)/2)^2+COS(RADIANS(Finder!$G$5))*COS(RADIANS(E340))*SIN(RADIANS(F340-Finder!$G$6)/2)^2)),"")</f>
        <v>405.94737710618892</v>
      </c>
      <c r="R340" s="39">
        <f>IF(ISNUMBER(Q340),IF(Q340&lt;=Finder!$D$7,1,0),0)</f>
        <v>0</v>
      </c>
      <c r="S340" s="39" t="str">
        <f>IF(R340=1,O340+ROW()*0.000000001,"")</f>
        <v/>
      </c>
      <c r="T340" s="39" t="str">
        <f>IF(O340&gt;0,INDEX(Calc!$B$4:$B$11,MATCH(MAX(G340:N340),G340:N340,0)),"-")</f>
        <v>Mustard Stalk</v>
      </c>
    </row>
    <row r="341" spans="1:20">
      <c r="A341" s="39">
        <v>338</v>
      </c>
      <c r="B341" s="39" t="s">
        <v>392</v>
      </c>
      <c r="C341" s="39" t="s">
        <v>412</v>
      </c>
      <c r="D341" s="39" t="str">
        <f>B341&amp;"|"&amp;C341</f>
        <v>Madhya Pradesh|Harda</v>
      </c>
      <c r="E341" s="40">
        <v>22.34</v>
      </c>
      <c r="F341" s="40">
        <v>77.09</v>
      </c>
      <c r="G341" s="41">
        <v>1.26</v>
      </c>
      <c r="H341" s="41">
        <v>37.35</v>
      </c>
      <c r="I341" s="41">
        <v>20.0823</v>
      </c>
      <c r="J341" s="41">
        <v>0.63029999999999997</v>
      </c>
      <c r="K341" s="41">
        <v>5.4000000000000003E-3</v>
      </c>
      <c r="L341" s="41">
        <v>5.9999999999999995E-4</v>
      </c>
      <c r="M341" s="41">
        <v>162.9084</v>
      </c>
      <c r="N341" s="41">
        <v>0</v>
      </c>
      <c r="O341" s="42">
        <f>SUM(G341:N341)</f>
        <v>222.23699999999999</v>
      </c>
      <c r="P341" s="42">
        <f>SUMPRODUCT(G341:N341,$G$2:$N$2)*1000/Assumptions!$C$15</f>
        <v>71.692347028152497</v>
      </c>
      <c r="Q341" s="43">
        <f>IF(ISNUMBER(Finder!$G$5),Finder!$D$8*Assumptions!$C$16*2*ASIN(SQRT(SIN(RADIANS(E341-Finder!$G$5)/2)^2+COS(RADIANS(Finder!$G$5))*COS(RADIANS(E341))*SIN(RADIANS(F341-Finder!$G$6)/2)^2)),"")</f>
        <v>769.54455631471694</v>
      </c>
      <c r="R341" s="39">
        <f>IF(ISNUMBER(Q341),IF(Q341&lt;=Finder!$D$7,1,0),0)</f>
        <v>0</v>
      </c>
      <c r="S341" s="39" t="str">
        <f>IF(R341=1,O341+ROW()*0.000000001,"")</f>
        <v/>
      </c>
      <c r="T341" s="39" t="str">
        <f>IF(O341&gt;0,INDEX(Calc!$B$4:$B$11,MATCH(MAX(G341:N341),G341:N341,0)),"-")</f>
        <v>Soya Trash</v>
      </c>
    </row>
    <row r="342" spans="1:20">
      <c r="A342" s="39">
        <v>339</v>
      </c>
      <c r="B342" s="39" t="s">
        <v>392</v>
      </c>
      <c r="C342" s="39" t="s">
        <v>413</v>
      </c>
      <c r="D342" s="39" t="str">
        <f>B342&amp;"|"&amp;C342</f>
        <v>Madhya Pradesh|Indore</v>
      </c>
      <c r="E342" s="40">
        <v>22.72</v>
      </c>
      <c r="F342" s="40">
        <v>75.86</v>
      </c>
      <c r="G342" s="41">
        <v>0.42</v>
      </c>
      <c r="H342" s="41">
        <v>74.25</v>
      </c>
      <c r="I342" s="41">
        <v>2.2852999999999999</v>
      </c>
      <c r="J342" s="41">
        <v>0.41830000000000001</v>
      </c>
      <c r="K342" s="41">
        <v>2.3E-3</v>
      </c>
      <c r="L342" s="41">
        <v>2.9999999999999997E-4</v>
      </c>
      <c r="M342" s="41">
        <v>265.73399999999998</v>
      </c>
      <c r="N342" s="41">
        <v>0</v>
      </c>
      <c r="O342" s="42">
        <f>SUM(G342:N342)</f>
        <v>343.11019999999996</v>
      </c>
      <c r="P342" s="42">
        <f>SUMPRODUCT(G342:N342,$G$2:$N$2)*1000/Assumptions!$C$15</f>
        <v>112.08254669706744</v>
      </c>
      <c r="Q342" s="43">
        <f>IF(ISNUMBER(Finder!$G$5),Finder!$D$8*Assumptions!$C$16*2*ASIN(SQRT(SIN(RADIANS(E342-Finder!$G$5)/2)^2+COS(RADIANS(Finder!$G$5))*COS(RADIANS(E342))*SIN(RADIANS(F342-Finder!$G$6)/2)^2)),"")</f>
        <v>715.12017590525102</v>
      </c>
      <c r="R342" s="39">
        <f>IF(ISNUMBER(Q342),IF(Q342&lt;=Finder!$D$7,1,0),0)</f>
        <v>0</v>
      </c>
      <c r="S342" s="39" t="str">
        <f>IF(R342=1,O342+ROW()*0.000000001,"")</f>
        <v/>
      </c>
      <c r="T342" s="39" t="str">
        <f>IF(O342&gt;0,INDEX(Calc!$B$4:$B$11,MATCH(MAX(G342:N342),G342:N342,0)),"-")</f>
        <v>Soya Trash</v>
      </c>
    </row>
    <row r="343" spans="1:20">
      <c r="A343" s="39">
        <v>340</v>
      </c>
      <c r="B343" s="39" t="s">
        <v>392</v>
      </c>
      <c r="C343" s="39" t="s">
        <v>414</v>
      </c>
      <c r="D343" s="39" t="str">
        <f>B343&amp;"|"&amp;C343</f>
        <v>Madhya Pradesh|Jabalpur</v>
      </c>
      <c r="E343" s="40">
        <v>23.18</v>
      </c>
      <c r="F343" s="40">
        <v>79.989999999999995</v>
      </c>
      <c r="G343" s="41">
        <v>70.56</v>
      </c>
      <c r="H343" s="41">
        <v>64.8</v>
      </c>
      <c r="I343" s="41">
        <v>42.718200000000003</v>
      </c>
      <c r="J343" s="41">
        <v>1.4112</v>
      </c>
      <c r="K343" s="41">
        <v>1.9221999999999999</v>
      </c>
      <c r="L343" s="41">
        <v>0.2243</v>
      </c>
      <c r="M343" s="41">
        <v>0.14349999999999999</v>
      </c>
      <c r="N343" s="41">
        <v>0</v>
      </c>
      <c r="O343" s="42">
        <f>SUM(G343:N343)</f>
        <v>181.77940000000001</v>
      </c>
      <c r="P343" s="42">
        <f>SUMPRODUCT(G343:N343,$G$2:$N$2)*1000/Assumptions!$C$15</f>
        <v>63.27182913225807</v>
      </c>
      <c r="Q343" s="43">
        <f>IF(ISNUMBER(Finder!$G$5),Finder!$D$8*Assumptions!$C$16*2*ASIN(SQRT(SIN(RADIANS(E343-Finder!$G$5)/2)^2+COS(RADIANS(Finder!$G$5))*COS(RADIANS(E343))*SIN(RADIANS(F343-Finder!$G$6)/2)^2)),"")</f>
        <v>788.65569902374068</v>
      </c>
      <c r="R343" s="39">
        <f>IF(ISNUMBER(Q343),IF(Q343&lt;=Finder!$D$7,1,0),0)</f>
        <v>0</v>
      </c>
      <c r="S343" s="39" t="str">
        <f>IF(R343=1,O343+ROW()*0.000000001,"")</f>
        <v/>
      </c>
      <c r="T343" s="39" t="str">
        <f>IF(O343&gt;0,INDEX(Calc!$B$4:$B$11,MATCH(MAX(G343:N343),G343:N343,0)),"-")</f>
        <v>Paddy Straw</v>
      </c>
    </row>
    <row r="344" spans="1:20">
      <c r="A344" s="39">
        <v>341</v>
      </c>
      <c r="B344" s="39" t="s">
        <v>392</v>
      </c>
      <c r="C344" s="39" t="s">
        <v>415</v>
      </c>
      <c r="D344" s="39" t="str">
        <f>B344&amp;"|"&amp;C344</f>
        <v>Madhya Pradesh|Jhabua</v>
      </c>
      <c r="E344" s="40">
        <v>22.77</v>
      </c>
      <c r="F344" s="40">
        <v>74.59</v>
      </c>
      <c r="G344" s="41">
        <v>2.1</v>
      </c>
      <c r="H344" s="41">
        <v>30.6</v>
      </c>
      <c r="I344" s="41">
        <v>78.805599999999998</v>
      </c>
      <c r="J344" s="41">
        <v>0.39750000000000002</v>
      </c>
      <c r="K344" s="41">
        <v>2.2000000000000001E-3</v>
      </c>
      <c r="L344" s="41">
        <v>2.9999999999999997E-4</v>
      </c>
      <c r="M344" s="41">
        <v>60.389000000000003</v>
      </c>
      <c r="N344" s="41">
        <v>0</v>
      </c>
      <c r="O344" s="42">
        <f>SUM(G344:N344)</f>
        <v>172.2946</v>
      </c>
      <c r="P344" s="42">
        <f>SUMPRODUCT(G344:N344,$G$2:$N$2)*1000/Assumptions!$C$15</f>
        <v>54.357332766275654</v>
      </c>
      <c r="Q344" s="43">
        <f>IF(ISNUMBER(Finder!$G$5),Finder!$D$8*Assumptions!$C$16*2*ASIN(SQRT(SIN(RADIANS(E344-Finder!$G$5)/2)^2+COS(RADIANS(Finder!$G$5))*COS(RADIANS(E344))*SIN(RADIANS(F344-Finder!$G$6)/2)^2)),"")</f>
        <v>718.34666886205969</v>
      </c>
      <c r="R344" s="39">
        <f>IF(ISNUMBER(Q344),IF(Q344&lt;=Finder!$D$7,1,0),0)</f>
        <v>0</v>
      </c>
      <c r="S344" s="39" t="str">
        <f>IF(R344=1,O344+ROW()*0.000000001,"")</f>
        <v/>
      </c>
      <c r="T344" s="39" t="str">
        <f>IF(O344&gt;0,INDEX(Calc!$B$4:$B$11,MATCH(MAX(G344:N344),G344:N344,0)),"-")</f>
        <v>Maize Stover</v>
      </c>
    </row>
    <row r="345" spans="1:20">
      <c r="A345" s="39">
        <v>342</v>
      </c>
      <c r="B345" s="39" t="s">
        <v>392</v>
      </c>
      <c r="C345" s="39" t="s">
        <v>416</v>
      </c>
      <c r="D345" s="39" t="str">
        <f>B345&amp;"|"&amp;C345</f>
        <v>Madhya Pradesh|Katni</v>
      </c>
      <c r="E345" s="40">
        <v>23.83</v>
      </c>
      <c r="F345" s="40">
        <v>80.39</v>
      </c>
      <c r="G345" s="41">
        <v>81.900000000000006</v>
      </c>
      <c r="H345" s="41">
        <v>71.55</v>
      </c>
      <c r="I345" s="41">
        <v>1.2862</v>
      </c>
      <c r="J345" s="41">
        <v>6.3491999999999997</v>
      </c>
      <c r="K345" s="41">
        <v>8.7300000000000003E-2</v>
      </c>
      <c r="L345" s="41">
        <v>1.0200000000000001E-2</v>
      </c>
      <c r="M345" s="41">
        <v>8.9200000000000002E-2</v>
      </c>
      <c r="N345" s="41">
        <v>0</v>
      </c>
      <c r="O345" s="42">
        <f>SUM(G345:N345)</f>
        <v>161.27209999999999</v>
      </c>
      <c r="P345" s="42">
        <f>SUMPRODUCT(G345:N345,$G$2:$N$2)*1000/Assumptions!$C$15</f>
        <v>58.550622143695001</v>
      </c>
      <c r="Q345" s="43">
        <f>IF(ISNUMBER(Finder!$G$5),Finder!$D$8*Assumptions!$C$16*2*ASIN(SQRT(SIN(RADIANS(E345-Finder!$G$5)/2)^2+COS(RADIANS(Finder!$G$5))*COS(RADIANS(E345))*SIN(RADIANS(F345-Finder!$G$6)/2)^2)),"")</f>
        <v>752.09630858935236</v>
      </c>
      <c r="R345" s="39">
        <f>IF(ISNUMBER(Q345),IF(Q345&lt;=Finder!$D$7,1,0),0)</f>
        <v>0</v>
      </c>
      <c r="S345" s="39" t="str">
        <f>IF(R345=1,O345+ROW()*0.000000001,"")</f>
        <v/>
      </c>
      <c r="T345" s="39" t="str">
        <f>IF(O345&gt;0,INDEX(Calc!$B$4:$B$11,MATCH(MAX(G345:N345),G345:N345,0)),"-")</f>
        <v>Paddy Straw</v>
      </c>
    </row>
    <row r="346" spans="1:20">
      <c r="A346" s="39">
        <v>343</v>
      </c>
      <c r="B346" s="39" t="s">
        <v>392</v>
      </c>
      <c r="C346" s="39" t="s">
        <v>417</v>
      </c>
      <c r="D346" s="39" t="str">
        <f>B346&amp;"|"&amp;C346</f>
        <v>Madhya Pradesh|Khandwa (East Nimar)</v>
      </c>
      <c r="E346" s="40">
        <v>21.83</v>
      </c>
      <c r="F346" s="40">
        <v>76.349999999999994</v>
      </c>
      <c r="G346" s="41">
        <v>0.84</v>
      </c>
      <c r="H346" s="41">
        <v>60.3</v>
      </c>
      <c r="I346" s="41">
        <v>37.323799999999999</v>
      </c>
      <c r="J346" s="41">
        <v>0.38159999999999999</v>
      </c>
      <c r="K346" s="41">
        <v>0.2009</v>
      </c>
      <c r="L346" s="41">
        <v>2.3400000000000001E-2</v>
      </c>
      <c r="M346" s="41">
        <v>110.81959999999999</v>
      </c>
      <c r="N346" s="41">
        <v>0</v>
      </c>
      <c r="O346" s="42">
        <f>SUM(G346:N346)</f>
        <v>209.88929999999999</v>
      </c>
      <c r="P346" s="42">
        <f>SUMPRODUCT(G346:N346,$G$2:$N$2)*1000/Assumptions!$C$15</f>
        <v>68.564560341935476</v>
      </c>
      <c r="Q346" s="43">
        <f>IF(ISNUMBER(Finder!$G$5),Finder!$D$8*Assumptions!$C$16*2*ASIN(SQRT(SIN(RADIANS(E346-Finder!$G$5)/2)^2+COS(RADIANS(Finder!$G$5))*COS(RADIANS(E346))*SIN(RADIANS(F346-Finder!$G$6)/2)^2)),"")</f>
        <v>816.39381404834091</v>
      </c>
      <c r="R346" s="39">
        <f>IF(ISNUMBER(Q346),IF(Q346&lt;=Finder!$D$7,1,0),0)</f>
        <v>0</v>
      </c>
      <c r="S346" s="39" t="str">
        <f>IF(R346=1,O346+ROW()*0.000000001,"")</f>
        <v/>
      </c>
      <c r="T346" s="39" t="str">
        <f>IF(O346&gt;0,INDEX(Calc!$B$4:$B$11,MATCH(MAX(G346:N346),G346:N346,0)),"-")</f>
        <v>Soya Trash</v>
      </c>
    </row>
    <row r="347" spans="1:20">
      <c r="A347" s="39">
        <v>344</v>
      </c>
      <c r="B347" s="39" t="s">
        <v>392</v>
      </c>
      <c r="C347" s="39" t="s">
        <v>418</v>
      </c>
      <c r="D347" s="39" t="str">
        <f>B347&amp;"|"&amp;C347</f>
        <v>Madhya Pradesh|Khargone (West Nimar)</v>
      </c>
      <c r="E347" s="40">
        <v>21.82</v>
      </c>
      <c r="F347" s="40">
        <v>75.61</v>
      </c>
      <c r="G347" s="41">
        <v>0.42</v>
      </c>
      <c r="H347" s="41">
        <v>57.6</v>
      </c>
      <c r="I347" s="41">
        <v>123.44589999999999</v>
      </c>
      <c r="J347" s="41">
        <v>0.8256</v>
      </c>
      <c r="K347" s="41">
        <v>5.0347999999999997</v>
      </c>
      <c r="L347" s="41">
        <v>0.58740000000000003</v>
      </c>
      <c r="M347" s="41">
        <v>83.624600000000001</v>
      </c>
      <c r="N347" s="41">
        <v>0</v>
      </c>
      <c r="O347" s="42">
        <f>SUM(G347:N347)</f>
        <v>271.53829999999999</v>
      </c>
      <c r="P347" s="42">
        <f>SUMPRODUCT(G347:N347,$G$2:$N$2)*1000/Assumptions!$C$15</f>
        <v>85.877628591788863</v>
      </c>
      <c r="Q347" s="43">
        <f>IF(ISNUMBER(Finder!$G$5),Finder!$D$8*Assumptions!$C$16*2*ASIN(SQRT(SIN(RADIANS(E347-Finder!$G$5)/2)^2+COS(RADIANS(Finder!$G$5))*COS(RADIANS(E347))*SIN(RADIANS(F347-Finder!$G$6)/2)^2)),"")</f>
        <v>815.13342340913084</v>
      </c>
      <c r="R347" s="39">
        <f>IF(ISNUMBER(Q347),IF(Q347&lt;=Finder!$D$7,1,0),0)</f>
        <v>0</v>
      </c>
      <c r="S347" s="39" t="str">
        <f>IF(R347=1,O347+ROW()*0.000000001,"")</f>
        <v/>
      </c>
      <c r="T347" s="39" t="str">
        <f>IF(O347&gt;0,INDEX(Calc!$B$4:$B$11,MATCH(MAX(G347:N347),G347:N347,0)),"-")</f>
        <v>Maize Stover</v>
      </c>
    </row>
    <row r="348" spans="1:20">
      <c r="A348" s="39">
        <v>345</v>
      </c>
      <c r="B348" s="39" t="s">
        <v>392</v>
      </c>
      <c r="C348" s="39" t="s">
        <v>419</v>
      </c>
      <c r="D348" s="39" t="str">
        <f>B348&amp;"|"&amp;C348</f>
        <v>Madhya Pradesh|Mandla</v>
      </c>
      <c r="E348" s="40">
        <v>22.6</v>
      </c>
      <c r="F348" s="40">
        <v>80.37</v>
      </c>
      <c r="G348" s="41">
        <v>77.28</v>
      </c>
      <c r="H348" s="41">
        <v>23.4</v>
      </c>
      <c r="I348" s="41">
        <v>23.461200000000002</v>
      </c>
      <c r="J348" s="41">
        <v>3.6486999999999998</v>
      </c>
      <c r="K348" s="41">
        <v>0.53749999999999998</v>
      </c>
      <c r="L348" s="41">
        <v>6.2700000000000006E-2</v>
      </c>
      <c r="M348" s="41">
        <v>4.8099999999999997E-2</v>
      </c>
      <c r="N348" s="41">
        <v>0</v>
      </c>
      <c r="O348" s="42">
        <f>SUM(G348:N348)</f>
        <v>128.43820000000002</v>
      </c>
      <c r="P348" s="42">
        <f>SUMPRODUCT(G348:N348,$G$2:$N$2)*1000/Assumptions!$C$15</f>
        <v>45.070620565689154</v>
      </c>
      <c r="Q348" s="43">
        <f>IF(ISNUMBER(Finder!$G$5),Finder!$D$8*Assumptions!$C$16*2*ASIN(SQRT(SIN(RADIANS(E348-Finder!$G$5)/2)^2+COS(RADIANS(Finder!$G$5))*COS(RADIANS(E348))*SIN(RADIANS(F348-Finder!$G$6)/2)^2)),"")</f>
        <v>863.98212889338117</v>
      </c>
      <c r="R348" s="39">
        <f>IF(ISNUMBER(Q348),IF(Q348&lt;=Finder!$D$7,1,0),0)</f>
        <v>0</v>
      </c>
      <c r="S348" s="39" t="str">
        <f>IF(R348=1,O348+ROW()*0.000000001,"")</f>
        <v/>
      </c>
      <c r="T348" s="39" t="str">
        <f>IF(O348&gt;0,INDEX(Calc!$B$4:$B$11,MATCH(MAX(G348:N348),G348:N348,0)),"-")</f>
        <v>Paddy Straw</v>
      </c>
    </row>
    <row r="349" spans="1:20">
      <c r="A349" s="39">
        <v>346</v>
      </c>
      <c r="B349" s="39" t="s">
        <v>392</v>
      </c>
      <c r="C349" s="39" t="s">
        <v>420</v>
      </c>
      <c r="D349" s="39" t="str">
        <f>B349&amp;"|"&amp;C349</f>
        <v>Madhya Pradesh|Mandsaur</v>
      </c>
      <c r="E349" s="40">
        <v>24.07</v>
      </c>
      <c r="F349" s="40">
        <v>75.069999999999993</v>
      </c>
      <c r="G349" s="41">
        <v>0.42</v>
      </c>
      <c r="H349" s="41">
        <v>84.6</v>
      </c>
      <c r="I349" s="41">
        <v>8.0298999999999996</v>
      </c>
      <c r="J349" s="41">
        <v>16.499500000000001</v>
      </c>
      <c r="K349" s="41">
        <v>8.6E-3</v>
      </c>
      <c r="L349" s="41">
        <v>1E-3</v>
      </c>
      <c r="M349" s="41">
        <v>281.40089999999998</v>
      </c>
      <c r="N349" s="41">
        <v>0</v>
      </c>
      <c r="O349" s="42">
        <f>SUM(G349:N349)</f>
        <v>390.95989999999995</v>
      </c>
      <c r="P349" s="42">
        <f>SUMPRODUCT(G349:N349,$G$2:$N$2)*1000/Assumptions!$C$15</f>
        <v>127.24662215659822</v>
      </c>
      <c r="Q349" s="43">
        <f>IF(ISNUMBER(Finder!$G$5),Finder!$D$8*Assumptions!$C$16*2*ASIN(SQRT(SIN(RADIANS(E349-Finder!$G$5)/2)^2+COS(RADIANS(Finder!$G$5))*COS(RADIANS(E349))*SIN(RADIANS(F349-Finder!$G$6)/2)^2)),"")</f>
        <v>568.55028329078721</v>
      </c>
      <c r="R349" s="39">
        <f>IF(ISNUMBER(Q349),IF(Q349&lt;=Finder!$D$7,1,0),0)</f>
        <v>0</v>
      </c>
      <c r="S349" s="39" t="str">
        <f>IF(R349=1,O349+ROW()*0.000000001,"")</f>
        <v/>
      </c>
      <c r="T349" s="39" t="str">
        <f>IF(O349&gt;0,INDEX(Calc!$B$4:$B$11,MATCH(MAX(G349:N349),G349:N349,0)),"-")</f>
        <v>Soya Trash</v>
      </c>
    </row>
    <row r="350" spans="1:20">
      <c r="A350" s="39">
        <v>347</v>
      </c>
      <c r="B350" s="39" t="s">
        <v>392</v>
      </c>
      <c r="C350" s="39" t="s">
        <v>421</v>
      </c>
      <c r="D350" s="39" t="str">
        <f>B350&amp;"|"&amp;C350</f>
        <v>Madhya Pradesh|Morena</v>
      </c>
      <c r="E350" s="40">
        <v>26.5</v>
      </c>
      <c r="F350" s="40">
        <v>78</v>
      </c>
      <c r="G350" s="41">
        <v>5.46</v>
      </c>
      <c r="H350" s="41">
        <v>45.9</v>
      </c>
      <c r="I350" s="41">
        <v>0</v>
      </c>
      <c r="J350" s="41">
        <v>211.0883</v>
      </c>
      <c r="K350" s="41">
        <v>1.5100000000000001E-2</v>
      </c>
      <c r="L350" s="41">
        <v>1.8E-3</v>
      </c>
      <c r="M350" s="41">
        <v>0.61080000000000001</v>
      </c>
      <c r="N350" s="41">
        <v>0</v>
      </c>
      <c r="O350" s="42">
        <f>SUM(G350:N350)</f>
        <v>263.07600000000002</v>
      </c>
      <c r="P350" s="42">
        <f>SUMPRODUCT(G350:N350,$G$2:$N$2)*1000/Assumptions!$C$15</f>
        <v>81.122385283870983</v>
      </c>
      <c r="Q350" s="43">
        <f>IF(ISNUMBER(Finder!$G$5),Finder!$D$8*Assumptions!$C$16*2*ASIN(SQRT(SIN(RADIANS(E350-Finder!$G$5)/2)^2+COS(RADIANS(Finder!$G$5))*COS(RADIANS(E350))*SIN(RADIANS(F350-Finder!$G$6)/2)^2)),"")</f>
        <v>370.2447530439083</v>
      </c>
      <c r="R350" s="39">
        <f>IF(ISNUMBER(Q350),IF(Q350&lt;=Finder!$D$7,1,0),0)</f>
        <v>0</v>
      </c>
      <c r="S350" s="39" t="str">
        <f>IF(R350=1,O350+ROW()*0.000000001,"")</f>
        <v/>
      </c>
      <c r="T350" s="39" t="str">
        <f>IF(O350&gt;0,INDEX(Calc!$B$4:$B$11,MATCH(MAX(G350:N350),G350:N350,0)),"-")</f>
        <v>Mustard Stalk</v>
      </c>
    </row>
    <row r="351" spans="1:20">
      <c r="A351" s="39">
        <v>348</v>
      </c>
      <c r="B351" s="39" t="s">
        <v>392</v>
      </c>
      <c r="C351" s="39" t="s">
        <v>422</v>
      </c>
      <c r="D351" s="39" t="str">
        <f>B351&amp;"|"&amp;C351</f>
        <v>Madhya Pradesh|Narmadapuram</v>
      </c>
      <c r="E351" s="40">
        <v>22.75</v>
      </c>
      <c r="F351" s="40">
        <v>77.72</v>
      </c>
      <c r="G351" s="41">
        <v>91.14</v>
      </c>
      <c r="H351" s="41">
        <v>92.7</v>
      </c>
      <c r="I351" s="41">
        <v>47.9041</v>
      </c>
      <c r="J351" s="41">
        <v>1.0921000000000001</v>
      </c>
      <c r="K351" s="41">
        <v>3.1901000000000002</v>
      </c>
      <c r="L351" s="41">
        <v>0.37219999999999998</v>
      </c>
      <c r="M351" s="41">
        <v>31.256699999999999</v>
      </c>
      <c r="N351" s="41">
        <v>0</v>
      </c>
      <c r="O351" s="42">
        <f>SUM(G351:N351)</f>
        <v>267.65519999999998</v>
      </c>
      <c r="P351" s="42">
        <f>SUMPRODUCT(G351:N351,$G$2:$N$2)*1000/Assumptions!$C$15</f>
        <v>92.713311076246328</v>
      </c>
      <c r="Q351" s="43">
        <f>IF(ISNUMBER(Finder!$G$5),Finder!$D$8*Assumptions!$C$16*2*ASIN(SQRT(SIN(RADIANS(E351-Finder!$G$5)/2)^2+COS(RADIANS(Finder!$G$5))*COS(RADIANS(E351))*SIN(RADIANS(F351-Finder!$G$6)/2)^2)),"")</f>
        <v>739.15989009018142</v>
      </c>
      <c r="R351" s="39">
        <f>IF(ISNUMBER(Q351),IF(Q351&lt;=Finder!$D$7,1,0),0)</f>
        <v>0</v>
      </c>
      <c r="S351" s="39" t="str">
        <f>IF(R351=1,O351+ROW()*0.000000001,"")</f>
        <v/>
      </c>
      <c r="T351" s="39" t="str">
        <f>IF(O351&gt;0,INDEX(Calc!$B$4:$B$11,MATCH(MAX(G351:N351),G351:N351,0)),"-")</f>
        <v>Wheat Straw</v>
      </c>
    </row>
    <row r="352" spans="1:20">
      <c r="A352" s="39">
        <v>349</v>
      </c>
      <c r="B352" s="39" t="s">
        <v>392</v>
      </c>
      <c r="C352" s="39" t="s">
        <v>423</v>
      </c>
      <c r="D352" s="39" t="str">
        <f>B352&amp;"|"&amp;C352</f>
        <v>Madhya Pradesh|Narsimhapur</v>
      </c>
      <c r="E352" s="40">
        <v>22.95</v>
      </c>
      <c r="F352" s="40">
        <v>79.19</v>
      </c>
      <c r="G352" s="41">
        <v>33.18</v>
      </c>
      <c r="H352" s="41">
        <v>59.4</v>
      </c>
      <c r="I352" s="41">
        <v>90.411299999999997</v>
      </c>
      <c r="J352" s="41">
        <v>0.59350000000000003</v>
      </c>
      <c r="K352" s="41">
        <v>63.619599999999998</v>
      </c>
      <c r="L352" s="41">
        <v>7.4222999999999999</v>
      </c>
      <c r="M352" s="41">
        <v>29.8217</v>
      </c>
      <c r="N352" s="41">
        <v>0</v>
      </c>
      <c r="O352" s="42">
        <f>SUM(G352:N352)</f>
        <v>284.44839999999999</v>
      </c>
      <c r="P352" s="42">
        <f>SUMPRODUCT(G352:N352,$G$2:$N$2)*1000/Assumptions!$C$15</f>
        <v>90.898673785630507</v>
      </c>
      <c r="Q352" s="43">
        <f>IF(ISNUMBER(Finder!$G$5),Finder!$D$8*Assumptions!$C$16*2*ASIN(SQRT(SIN(RADIANS(E352-Finder!$G$5)/2)^2+COS(RADIANS(Finder!$G$5))*COS(RADIANS(E352))*SIN(RADIANS(F352-Finder!$G$6)/2)^2)),"")</f>
        <v>771.51860281883762</v>
      </c>
      <c r="R352" s="39">
        <f>IF(ISNUMBER(Q352),IF(Q352&lt;=Finder!$D$7,1,0),0)</f>
        <v>0</v>
      </c>
      <c r="S352" s="39" t="str">
        <f>IF(R352=1,O352+ROW()*0.000000001,"")</f>
        <v/>
      </c>
      <c r="T352" s="39" t="str">
        <f>IF(O352&gt;0,INDEX(Calc!$B$4:$B$11,MATCH(MAX(G352:N352),G352:N352,0)),"-")</f>
        <v>Maize Stover</v>
      </c>
    </row>
    <row r="353" spans="1:20">
      <c r="A353" s="39">
        <v>350</v>
      </c>
      <c r="B353" s="39" t="s">
        <v>392</v>
      </c>
      <c r="C353" s="39" t="s">
        <v>424</v>
      </c>
      <c r="D353" s="39" t="str">
        <f>B353&amp;"|"&amp;C353</f>
        <v>Madhya Pradesh|Neemuch</v>
      </c>
      <c r="E353" s="40">
        <v>24.47</v>
      </c>
      <c r="F353" s="40">
        <v>74.87</v>
      </c>
      <c r="G353" s="41">
        <v>0.42</v>
      </c>
      <c r="H353" s="41">
        <v>35.549999999999997</v>
      </c>
      <c r="I353" s="41">
        <v>22.143999999999998</v>
      </c>
      <c r="J353" s="41">
        <v>9.2984000000000009</v>
      </c>
      <c r="K353" s="41">
        <v>0</v>
      </c>
      <c r="L353" s="41">
        <v>0</v>
      </c>
      <c r="M353" s="41">
        <v>164.75110000000001</v>
      </c>
      <c r="N353" s="41">
        <v>0</v>
      </c>
      <c r="O353" s="42">
        <f>SUM(G353:N353)</f>
        <v>232.1635</v>
      </c>
      <c r="P353" s="42">
        <f>SUMPRODUCT(G353:N353,$G$2:$N$2)*1000/Assumptions!$C$15</f>
        <v>74.461300295601177</v>
      </c>
      <c r="Q353" s="43">
        <f>IF(ISNUMBER(Finder!$G$5),Finder!$D$8*Assumptions!$C$16*2*ASIN(SQRT(SIN(RADIANS(E353-Finder!$G$5)/2)^2+COS(RADIANS(Finder!$G$5))*COS(RADIANS(E353))*SIN(RADIANS(F353-Finder!$G$6)/2)^2)),"")</f>
        <v>527.17834401106234</v>
      </c>
      <c r="R353" s="39">
        <f>IF(ISNUMBER(Q353),IF(Q353&lt;=Finder!$D$7,1,0),0)</f>
        <v>0</v>
      </c>
      <c r="S353" s="39" t="str">
        <f>IF(R353=1,O353+ROW()*0.000000001,"")</f>
        <v/>
      </c>
      <c r="T353" s="39" t="str">
        <f>IF(O353&gt;0,INDEX(Calc!$B$4:$B$11,MATCH(MAX(G353:N353),G353:N353,0)),"-")</f>
        <v>Soya Trash</v>
      </c>
    </row>
    <row r="354" spans="1:20">
      <c r="A354" s="39">
        <v>351</v>
      </c>
      <c r="B354" s="39" t="s">
        <v>392</v>
      </c>
      <c r="C354" s="39" t="s">
        <v>425</v>
      </c>
      <c r="D354" s="39" t="str">
        <f>B354&amp;"|"&amp;C354</f>
        <v>Madhya Pradesh|Niwari</v>
      </c>
      <c r="E354" s="40">
        <v>25.25</v>
      </c>
      <c r="F354" s="40">
        <v>78.8</v>
      </c>
      <c r="G354" s="41">
        <v>0.42</v>
      </c>
      <c r="H354" s="41">
        <v>27.9</v>
      </c>
      <c r="I354" s="41">
        <v>7.7700000000000005E-2</v>
      </c>
      <c r="J354" s="41">
        <v>2.2448000000000001</v>
      </c>
      <c r="K354" s="41">
        <v>0</v>
      </c>
      <c r="L354" s="41">
        <v>0</v>
      </c>
      <c r="M354" s="41">
        <v>0.14000000000000001</v>
      </c>
      <c r="N354" s="41">
        <v>0</v>
      </c>
      <c r="O354" s="42">
        <f>SUM(G354:N354)</f>
        <v>30.782500000000002</v>
      </c>
      <c r="P354" s="42">
        <f>SUMPRODUCT(G354:N354,$G$2:$N$2)*1000/Assumptions!$C$15</f>
        <v>11.108264134897361</v>
      </c>
      <c r="Q354" s="43">
        <f>IF(ISNUMBER(Finder!$G$5),Finder!$D$8*Assumptions!$C$16*2*ASIN(SQRT(SIN(RADIANS(E354-Finder!$G$5)/2)^2+COS(RADIANS(Finder!$G$5))*COS(RADIANS(E354))*SIN(RADIANS(F354-Finder!$G$6)/2)^2)),"")</f>
        <v>529.88499198366503</v>
      </c>
      <c r="R354" s="39">
        <f>IF(ISNUMBER(Q354),IF(Q354&lt;=Finder!$D$7,1,0),0)</f>
        <v>0</v>
      </c>
      <c r="S354" s="39" t="str">
        <f>IF(R354=1,O354+ROW()*0.000000001,"")</f>
        <v/>
      </c>
      <c r="T354" s="39" t="str">
        <f>IF(O354&gt;0,INDEX(Calc!$B$4:$B$11,MATCH(MAX(G354:N354),G354:N354,0)),"-")</f>
        <v>Wheat Straw</v>
      </c>
    </row>
    <row r="355" spans="1:20">
      <c r="A355" s="39">
        <v>352</v>
      </c>
      <c r="B355" s="39" t="s">
        <v>392</v>
      </c>
      <c r="C355" s="39" t="s">
        <v>426</v>
      </c>
      <c r="D355" s="39" t="str">
        <f>B355&amp;"|"&amp;C355</f>
        <v>Madhya Pradesh|Panna</v>
      </c>
      <c r="E355" s="40">
        <v>24.72</v>
      </c>
      <c r="F355" s="40">
        <v>80.19</v>
      </c>
      <c r="G355" s="41">
        <v>57.12</v>
      </c>
      <c r="H355" s="41">
        <v>52.2</v>
      </c>
      <c r="I355" s="41">
        <v>1.1314</v>
      </c>
      <c r="J355" s="41">
        <v>11.259</v>
      </c>
      <c r="K355" s="41">
        <v>7.7399999999999997E-2</v>
      </c>
      <c r="L355" s="41">
        <v>8.9999999999999993E-3</v>
      </c>
      <c r="M355" s="41">
        <v>0.43049999999999999</v>
      </c>
      <c r="N355" s="41">
        <v>0</v>
      </c>
      <c r="O355" s="42">
        <f>SUM(G355:N355)</f>
        <v>122.22729999999999</v>
      </c>
      <c r="P355" s="42">
        <f>SUMPRODUCT(G355:N355,$G$2:$N$2)*1000/Assumptions!$C$15</f>
        <v>43.877958278592374</v>
      </c>
      <c r="Q355" s="43">
        <f>IF(ISNUMBER(Finder!$G$5),Finder!$D$8*Assumptions!$C$16*2*ASIN(SQRT(SIN(RADIANS(E355-Finder!$G$5)/2)^2+COS(RADIANS(Finder!$G$5))*COS(RADIANS(E355))*SIN(RADIANS(F355-Finder!$G$6)/2)^2)),"")</f>
        <v>662.42892165329579</v>
      </c>
      <c r="R355" s="39">
        <f>IF(ISNUMBER(Q355),IF(Q355&lt;=Finder!$D$7,1,0),0)</f>
        <v>0</v>
      </c>
      <c r="S355" s="39" t="str">
        <f>IF(R355=1,O355+ROW()*0.000000001,"")</f>
        <v/>
      </c>
      <c r="T355" s="39" t="str">
        <f>IF(O355&gt;0,INDEX(Calc!$B$4:$B$11,MATCH(MAX(G355:N355),G355:N355,0)),"-")</f>
        <v>Paddy Straw</v>
      </c>
    </row>
    <row r="356" spans="1:20">
      <c r="A356" s="39">
        <v>353</v>
      </c>
      <c r="B356" s="39" t="s">
        <v>392</v>
      </c>
      <c r="C356" s="39" t="s">
        <v>427</v>
      </c>
      <c r="D356" s="39" t="str">
        <f>B356&amp;"|"&amp;C356</f>
        <v>Madhya Pradesh|Raisen</v>
      </c>
      <c r="E356" s="40">
        <v>23.33</v>
      </c>
      <c r="F356" s="40">
        <v>77.78</v>
      </c>
      <c r="G356" s="41">
        <v>112.98</v>
      </c>
      <c r="H356" s="41">
        <v>105.3</v>
      </c>
      <c r="I356" s="41">
        <v>5.093</v>
      </c>
      <c r="J356" s="41">
        <v>0.4526</v>
      </c>
      <c r="K356" s="41">
        <v>1.3511</v>
      </c>
      <c r="L356" s="41">
        <v>0.15759999999999999</v>
      </c>
      <c r="M356" s="41">
        <v>30.469200000000001</v>
      </c>
      <c r="N356" s="41">
        <v>0</v>
      </c>
      <c r="O356" s="42">
        <f>SUM(G356:N356)</f>
        <v>255.80349999999999</v>
      </c>
      <c r="P356" s="42">
        <f>SUMPRODUCT(G356:N356,$G$2:$N$2)*1000/Assumptions!$C$15</f>
        <v>91.70588313665688</v>
      </c>
      <c r="Q356" s="43">
        <f>IF(ISNUMBER(Finder!$G$5),Finder!$D$8*Assumptions!$C$16*2*ASIN(SQRT(SIN(RADIANS(E356-Finder!$G$5)/2)^2+COS(RADIANS(Finder!$G$5))*COS(RADIANS(E356))*SIN(RADIANS(F356-Finder!$G$6)/2)^2)),"")</f>
        <v>678.93866446287893</v>
      </c>
      <c r="R356" s="39">
        <f>IF(ISNUMBER(Q356),IF(Q356&lt;=Finder!$D$7,1,0),0)</f>
        <v>0</v>
      </c>
      <c r="S356" s="39" t="str">
        <f>IF(R356=1,O356+ROW()*0.000000001,"")</f>
        <v/>
      </c>
      <c r="T356" s="39" t="str">
        <f>IF(O356&gt;0,INDEX(Calc!$B$4:$B$11,MATCH(MAX(G356:N356),G356:N356,0)),"-")</f>
        <v>Paddy Straw</v>
      </c>
    </row>
    <row r="357" spans="1:20">
      <c r="A357" s="39">
        <v>354</v>
      </c>
      <c r="B357" s="39" t="s">
        <v>392</v>
      </c>
      <c r="C357" s="39" t="s">
        <v>428</v>
      </c>
      <c r="D357" s="39" t="str">
        <f>B357&amp;"|"&amp;C357</f>
        <v>Madhya Pradesh|Rajgarh</v>
      </c>
      <c r="E357" s="40">
        <v>24.01</v>
      </c>
      <c r="F357" s="40">
        <v>76.73</v>
      </c>
      <c r="G357" s="41">
        <v>0.42</v>
      </c>
      <c r="H357" s="41">
        <v>140.85</v>
      </c>
      <c r="I357" s="41">
        <v>58.731699999999996</v>
      </c>
      <c r="J357" s="41">
        <v>51.299900000000001</v>
      </c>
      <c r="K357" s="41">
        <v>0</v>
      </c>
      <c r="L357" s="41">
        <v>0</v>
      </c>
      <c r="M357" s="41">
        <v>403.47559999999999</v>
      </c>
      <c r="N357" s="41">
        <v>0</v>
      </c>
      <c r="O357" s="42">
        <f>SUM(G357:N357)</f>
        <v>654.77719999999999</v>
      </c>
      <c r="P357" s="42">
        <f>SUMPRODUCT(G357:N357,$G$2:$N$2)*1000/Assumptions!$C$15</f>
        <v>211.56551362463344</v>
      </c>
      <c r="Q357" s="43">
        <f>IF(ISNUMBER(Finder!$G$5),Finder!$D$8*Assumptions!$C$16*2*ASIN(SQRT(SIN(RADIANS(E357-Finder!$G$5)/2)^2+COS(RADIANS(Finder!$G$5))*COS(RADIANS(E357))*SIN(RADIANS(F357-Finder!$G$6)/2)^2)),"")</f>
        <v>580.28949794506195</v>
      </c>
      <c r="R357" s="39">
        <f>IF(ISNUMBER(Q357),IF(Q357&lt;=Finder!$D$7,1,0),0)</f>
        <v>0</v>
      </c>
      <c r="S357" s="39" t="str">
        <f>IF(R357=1,O357+ROW()*0.000000001,"")</f>
        <v/>
      </c>
      <c r="T357" s="39" t="str">
        <f>IF(O357&gt;0,INDEX(Calc!$B$4:$B$11,MATCH(MAX(G357:N357),G357:N357,0)),"-")</f>
        <v>Soya Trash</v>
      </c>
    </row>
    <row r="358" spans="1:20">
      <c r="A358" s="39">
        <v>355</v>
      </c>
      <c r="B358" s="39" t="s">
        <v>392</v>
      </c>
      <c r="C358" s="39" t="s">
        <v>429</v>
      </c>
      <c r="D358" s="39" t="str">
        <f>B358&amp;"|"&amp;C358</f>
        <v>Madhya Pradesh|Ratlam</v>
      </c>
      <c r="E358" s="40">
        <v>23.33</v>
      </c>
      <c r="F358" s="40">
        <v>75.040000000000006</v>
      </c>
      <c r="G358" s="41">
        <v>0.42</v>
      </c>
      <c r="H358" s="41">
        <v>85.05</v>
      </c>
      <c r="I358" s="41">
        <v>33.157899999999998</v>
      </c>
      <c r="J358" s="41">
        <v>4.4528999999999996</v>
      </c>
      <c r="K358" s="41">
        <v>2.3E-3</v>
      </c>
      <c r="L358" s="41">
        <v>2.9999999999999997E-4</v>
      </c>
      <c r="M358" s="41">
        <v>255.32589999999999</v>
      </c>
      <c r="N358" s="41">
        <v>0</v>
      </c>
      <c r="O358" s="42">
        <f>SUM(G358:N358)</f>
        <v>378.40929999999997</v>
      </c>
      <c r="P358" s="42">
        <f>SUMPRODUCT(G358:N358,$G$2:$N$2)*1000/Assumptions!$C$15</f>
        <v>123.02363418914955</v>
      </c>
      <c r="Q358" s="43">
        <f>IF(ISNUMBER(Finder!$G$5),Finder!$D$8*Assumptions!$C$16*2*ASIN(SQRT(SIN(RADIANS(E358-Finder!$G$5)/2)^2+COS(RADIANS(Finder!$G$5))*COS(RADIANS(E358))*SIN(RADIANS(F358-Finder!$G$6)/2)^2)),"")</f>
        <v>650.69324861293774</v>
      </c>
      <c r="R358" s="39">
        <f>IF(ISNUMBER(Q358),IF(Q358&lt;=Finder!$D$7,1,0),0)</f>
        <v>0</v>
      </c>
      <c r="S358" s="39" t="str">
        <f>IF(R358=1,O358+ROW()*0.000000001,"")</f>
        <v/>
      </c>
      <c r="T358" s="39" t="str">
        <f>IF(O358&gt;0,INDEX(Calc!$B$4:$B$11,MATCH(MAX(G358:N358),G358:N358,0)),"-")</f>
        <v>Soya Trash</v>
      </c>
    </row>
    <row r="359" spans="1:20">
      <c r="A359" s="39">
        <v>356</v>
      </c>
      <c r="B359" s="39" t="s">
        <v>392</v>
      </c>
      <c r="C359" s="39" t="s">
        <v>430</v>
      </c>
      <c r="D359" s="39" t="str">
        <f>B359&amp;"|"&amp;C359</f>
        <v>Madhya Pradesh|Rewa</v>
      </c>
      <c r="E359" s="40">
        <v>24.53</v>
      </c>
      <c r="F359" s="40">
        <v>81.3</v>
      </c>
      <c r="G359" s="41">
        <v>82.32</v>
      </c>
      <c r="H359" s="41">
        <v>77.400000000000006</v>
      </c>
      <c r="I359" s="41">
        <v>0.74229999999999996</v>
      </c>
      <c r="J359" s="41">
        <v>21.891400000000001</v>
      </c>
      <c r="K359" s="41">
        <v>8.0999999999999996E-3</v>
      </c>
      <c r="L359" s="41">
        <v>8.9999999999999998E-4</v>
      </c>
      <c r="M359" s="41">
        <v>0.50049999999999994</v>
      </c>
      <c r="N359" s="41">
        <v>0</v>
      </c>
      <c r="O359" s="42">
        <f>SUM(G359:N359)</f>
        <v>182.86320000000001</v>
      </c>
      <c r="P359" s="42">
        <f>SUMPRODUCT(G359:N359,$G$2:$N$2)*1000/Assumptions!$C$15</f>
        <v>65.365160059530794</v>
      </c>
      <c r="Q359" s="43">
        <f>IF(ISNUMBER(Finder!$G$5),Finder!$D$8*Assumptions!$C$16*2*ASIN(SQRT(SIN(RADIANS(E359-Finder!$G$5)/2)^2+COS(RADIANS(Finder!$G$5))*COS(RADIANS(E359))*SIN(RADIANS(F359-Finder!$G$6)/2)^2)),"")</f>
        <v>755.02748660642931</v>
      </c>
      <c r="R359" s="39">
        <f>IF(ISNUMBER(Q359),IF(Q359&lt;=Finder!$D$7,1,0),0)</f>
        <v>0</v>
      </c>
      <c r="S359" s="39" t="str">
        <f>IF(R359=1,O359+ROW()*0.000000001,"")</f>
        <v/>
      </c>
      <c r="T359" s="39" t="str">
        <f>IF(O359&gt;0,INDEX(Calc!$B$4:$B$11,MATCH(MAX(G359:N359),G359:N359,0)),"-")</f>
        <v>Paddy Straw</v>
      </c>
    </row>
    <row r="360" spans="1:20">
      <c r="A360" s="39">
        <v>357</v>
      </c>
      <c r="B360" s="39" t="s">
        <v>392</v>
      </c>
      <c r="C360" s="39" t="s">
        <v>431</v>
      </c>
      <c r="D360" s="39" t="str">
        <f>B360&amp;"|"&amp;C360</f>
        <v>Madhya Pradesh|Sagar</v>
      </c>
      <c r="E360" s="40">
        <v>23.84</v>
      </c>
      <c r="F360" s="40">
        <v>78.739999999999995</v>
      </c>
      <c r="G360" s="41">
        <v>12.6</v>
      </c>
      <c r="H360" s="41">
        <v>115.65</v>
      </c>
      <c r="I360" s="41">
        <v>41.896599999999999</v>
      </c>
      <c r="J360" s="41">
        <v>2.3489</v>
      </c>
      <c r="K360" s="41">
        <v>2.7199999999999998E-2</v>
      </c>
      <c r="L360" s="41">
        <v>3.2000000000000002E-3</v>
      </c>
      <c r="M360" s="41">
        <v>265.85739999999998</v>
      </c>
      <c r="N360" s="41">
        <v>0</v>
      </c>
      <c r="O360" s="42">
        <f>SUM(G360:N360)</f>
        <v>438.38329999999996</v>
      </c>
      <c r="P360" s="42">
        <f>SUMPRODUCT(G360:N360,$G$2:$N$2)*1000/Assumptions!$C$15</f>
        <v>143.99049357184751</v>
      </c>
      <c r="Q360" s="43">
        <f>IF(ISNUMBER(Finder!$G$5),Finder!$D$8*Assumptions!$C$16*2*ASIN(SQRT(SIN(RADIANS(E360-Finder!$G$5)/2)^2+COS(RADIANS(Finder!$G$5))*COS(RADIANS(E360))*SIN(RADIANS(F360-Finder!$G$6)/2)^2)),"")</f>
        <v>662.44432738371813</v>
      </c>
      <c r="R360" s="39">
        <f>IF(ISNUMBER(Q360),IF(Q360&lt;=Finder!$D$7,1,0),0)</f>
        <v>0</v>
      </c>
      <c r="S360" s="39" t="str">
        <f>IF(R360=1,O360+ROW()*0.000000001,"")</f>
        <v/>
      </c>
      <c r="T360" s="39" t="str">
        <f>IF(O360&gt;0,INDEX(Calc!$B$4:$B$11,MATCH(MAX(G360:N360),G360:N360,0)),"-")</f>
        <v>Soya Trash</v>
      </c>
    </row>
    <row r="361" spans="1:20">
      <c r="A361" s="39">
        <v>358</v>
      </c>
      <c r="B361" s="39" t="s">
        <v>392</v>
      </c>
      <c r="C361" s="39" t="s">
        <v>432</v>
      </c>
      <c r="D361" s="39" t="str">
        <f>B361&amp;"|"&amp;C361</f>
        <v>Madhya Pradesh|Satna</v>
      </c>
      <c r="E361" s="40">
        <v>24.6</v>
      </c>
      <c r="F361" s="40">
        <v>80.83</v>
      </c>
      <c r="G361" s="41">
        <v>74.34</v>
      </c>
      <c r="H361" s="41">
        <v>78.75</v>
      </c>
      <c r="I361" s="41">
        <v>0.3916</v>
      </c>
      <c r="J361" s="41">
        <v>10.8186</v>
      </c>
      <c r="K361" s="41">
        <v>2.2700000000000001E-2</v>
      </c>
      <c r="L361" s="41">
        <v>2.5999999999999999E-3</v>
      </c>
      <c r="M361" s="41">
        <v>0.74550000000000005</v>
      </c>
      <c r="N361" s="41">
        <v>0</v>
      </c>
      <c r="O361" s="42">
        <f>SUM(G361:N361)</f>
        <v>165.071</v>
      </c>
      <c r="P361" s="42">
        <f>SUMPRODUCT(G361:N361,$G$2:$N$2)*1000/Assumptions!$C$15</f>
        <v>59.656454591788865</v>
      </c>
      <c r="Q361" s="43">
        <f>IF(ISNUMBER(Finder!$G$5),Finder!$D$8*Assumptions!$C$16*2*ASIN(SQRT(SIN(RADIANS(E361-Finder!$G$5)/2)^2+COS(RADIANS(Finder!$G$5))*COS(RADIANS(E361))*SIN(RADIANS(F361-Finder!$G$6)/2)^2)),"")</f>
        <v>715.94823002437215</v>
      </c>
      <c r="R361" s="39">
        <f>IF(ISNUMBER(Q361),IF(Q361&lt;=Finder!$D$7,1,0),0)</f>
        <v>0</v>
      </c>
      <c r="S361" s="39" t="str">
        <f>IF(R361=1,O361+ROW()*0.000000001,"")</f>
        <v/>
      </c>
      <c r="T361" s="39" t="str">
        <f>IF(O361&gt;0,INDEX(Calc!$B$4:$B$11,MATCH(MAX(G361:N361),G361:N361,0)),"-")</f>
        <v>Wheat Straw</v>
      </c>
    </row>
    <row r="362" spans="1:20">
      <c r="A362" s="39">
        <v>359</v>
      </c>
      <c r="B362" s="39" t="s">
        <v>392</v>
      </c>
      <c r="C362" s="39" t="s">
        <v>433</v>
      </c>
      <c r="D362" s="39" t="str">
        <f>B362&amp;"|"&amp;C362</f>
        <v>Madhya Pradesh|Sehore</v>
      </c>
      <c r="E362" s="40">
        <v>23.2</v>
      </c>
      <c r="F362" s="40">
        <v>77.08</v>
      </c>
      <c r="G362" s="41">
        <v>19.739999999999998</v>
      </c>
      <c r="H362" s="41">
        <v>120.15</v>
      </c>
      <c r="I362" s="41">
        <v>27.1388</v>
      </c>
      <c r="J362" s="41">
        <v>0.62660000000000005</v>
      </c>
      <c r="K362" s="41">
        <v>2.6800000000000001E-2</v>
      </c>
      <c r="L362" s="41">
        <v>3.0999999999999999E-3</v>
      </c>
      <c r="M362" s="41">
        <v>300.81540000000001</v>
      </c>
      <c r="N362" s="41">
        <v>0</v>
      </c>
      <c r="O362" s="42">
        <f>SUM(G362:N362)</f>
        <v>468.50070000000005</v>
      </c>
      <c r="P362" s="42">
        <f>SUMPRODUCT(G362:N362,$G$2:$N$2)*1000/Assumptions!$C$15</f>
        <v>154.44824918035192</v>
      </c>
      <c r="Q362" s="43">
        <f>IF(ISNUMBER(Finder!$G$5),Finder!$D$8*Assumptions!$C$16*2*ASIN(SQRT(SIN(RADIANS(E362-Finder!$G$5)/2)^2+COS(RADIANS(Finder!$G$5))*COS(RADIANS(E362))*SIN(RADIANS(F362-Finder!$G$6)/2)^2)),"")</f>
        <v>675.3650463427366</v>
      </c>
      <c r="R362" s="39">
        <f>IF(ISNUMBER(Q362),IF(Q362&lt;=Finder!$D$7,1,0),0)</f>
        <v>0</v>
      </c>
      <c r="S362" s="39" t="str">
        <f>IF(R362=1,O362+ROW()*0.000000001,"")</f>
        <v/>
      </c>
      <c r="T362" s="39" t="str">
        <f>IF(O362&gt;0,INDEX(Calc!$B$4:$B$11,MATCH(MAX(G362:N362),G362:N362,0)),"-")</f>
        <v>Soya Trash</v>
      </c>
    </row>
    <row r="363" spans="1:20">
      <c r="A363" s="39">
        <v>360</v>
      </c>
      <c r="B363" s="39" t="s">
        <v>392</v>
      </c>
      <c r="C363" s="39" t="s">
        <v>434</v>
      </c>
      <c r="D363" s="39" t="str">
        <f>B363&amp;"|"&amp;C363</f>
        <v>Madhya Pradesh|Seoni</v>
      </c>
      <c r="E363" s="40">
        <v>22.09</v>
      </c>
      <c r="F363" s="40">
        <v>79.540000000000006</v>
      </c>
      <c r="G363" s="41">
        <v>74.760000000000005</v>
      </c>
      <c r="H363" s="41">
        <v>85.05</v>
      </c>
      <c r="I363" s="41">
        <v>236.6842</v>
      </c>
      <c r="J363" s="41">
        <v>4.3266999999999998</v>
      </c>
      <c r="K363" s="41">
        <v>0.50800000000000001</v>
      </c>
      <c r="L363" s="41">
        <v>5.9299999999999999E-2</v>
      </c>
      <c r="M363" s="41">
        <v>1.0342</v>
      </c>
      <c r="N363" s="41">
        <v>0</v>
      </c>
      <c r="O363" s="42">
        <f>SUM(G363:N363)</f>
        <v>402.42239999999998</v>
      </c>
      <c r="P363" s="42">
        <f>SUMPRODUCT(G363:N363,$G$2:$N$2)*1000/Assumptions!$C$15</f>
        <v>129.97253026715543</v>
      </c>
      <c r="Q363" s="43">
        <f>IF(ISNUMBER(Finder!$G$5),Finder!$D$8*Assumptions!$C$16*2*ASIN(SQRT(SIN(RADIANS(E363-Finder!$G$5)/2)^2+COS(RADIANS(Finder!$G$5))*COS(RADIANS(E363))*SIN(RADIANS(F363-Finder!$G$6)/2)^2)),"")</f>
        <v>873.2975670879955</v>
      </c>
      <c r="R363" s="39">
        <f>IF(ISNUMBER(Q363),IF(Q363&lt;=Finder!$D$7,1,0),0)</f>
        <v>0</v>
      </c>
      <c r="S363" s="39" t="str">
        <f>IF(R363=1,O363+ROW()*0.000000001,"")</f>
        <v/>
      </c>
      <c r="T363" s="39" t="str">
        <f>IF(O363&gt;0,INDEX(Calc!$B$4:$B$11,MATCH(MAX(G363:N363),G363:N363,0)),"-")</f>
        <v>Maize Stover</v>
      </c>
    </row>
    <row r="364" spans="1:20">
      <c r="A364" s="39">
        <v>361</v>
      </c>
      <c r="B364" s="39" t="s">
        <v>392</v>
      </c>
      <c r="C364" s="39" t="s">
        <v>435</v>
      </c>
      <c r="D364" s="39" t="str">
        <f>B364&amp;"|"&amp;C364</f>
        <v>Madhya Pradesh|Shahdol</v>
      </c>
      <c r="E364" s="40">
        <v>23.3</v>
      </c>
      <c r="F364" s="40">
        <v>81.36</v>
      </c>
      <c r="G364" s="41">
        <v>71.819999999999993</v>
      </c>
      <c r="H364" s="41">
        <v>20.7</v>
      </c>
      <c r="I364" s="41">
        <v>4.2855999999999996</v>
      </c>
      <c r="J364" s="41">
        <v>1.6641999999999999</v>
      </c>
      <c r="K364" s="41">
        <v>2.3E-3</v>
      </c>
      <c r="L364" s="41">
        <v>2.9999999999999997E-4</v>
      </c>
      <c r="M364" s="41">
        <v>3.0047999999999999</v>
      </c>
      <c r="N364" s="41">
        <v>0</v>
      </c>
      <c r="O364" s="42">
        <f>SUM(G364:N364)</f>
        <v>101.4772</v>
      </c>
      <c r="P364" s="42">
        <f>SUMPRODUCT(G364:N364,$G$2:$N$2)*1000/Assumptions!$C$15</f>
        <v>36.613559531085038</v>
      </c>
      <c r="Q364" s="43">
        <f>IF(ISNUMBER(Finder!$G$5),Finder!$D$8*Assumptions!$C$16*2*ASIN(SQRT(SIN(RADIANS(E364-Finder!$G$5)/2)^2+COS(RADIANS(Finder!$G$5))*COS(RADIANS(E364))*SIN(RADIANS(F364-Finder!$G$6)/2)^2)),"")</f>
        <v>859.71762246793264</v>
      </c>
      <c r="R364" s="39">
        <f>IF(ISNUMBER(Q364),IF(Q364&lt;=Finder!$D$7,1,0),0)</f>
        <v>0</v>
      </c>
      <c r="S364" s="39" t="str">
        <f>IF(R364=1,O364+ROW()*0.000000001,"")</f>
        <v/>
      </c>
      <c r="T364" s="39" t="str">
        <f>IF(O364&gt;0,INDEX(Calc!$B$4:$B$11,MATCH(MAX(G364:N364),G364:N364,0)),"-")</f>
        <v>Paddy Straw</v>
      </c>
    </row>
    <row r="365" spans="1:20">
      <c r="A365" s="39">
        <v>362</v>
      </c>
      <c r="B365" s="39" t="s">
        <v>392</v>
      </c>
      <c r="C365" s="39" t="s">
        <v>436</v>
      </c>
      <c r="D365" s="39" t="str">
        <f>B365&amp;"|"&amp;C365</f>
        <v>Madhya Pradesh|Shajapur</v>
      </c>
      <c r="E365" s="40">
        <v>23.43</v>
      </c>
      <c r="F365" s="40">
        <v>76.27</v>
      </c>
      <c r="G365" s="41">
        <v>0.42</v>
      </c>
      <c r="H365" s="41">
        <v>81.45</v>
      </c>
      <c r="I365" s="41">
        <v>0.9728</v>
      </c>
      <c r="J365" s="41">
        <v>2.3452999999999999</v>
      </c>
      <c r="K365" s="41">
        <v>0</v>
      </c>
      <c r="L365" s="41">
        <v>0</v>
      </c>
      <c r="M365" s="41">
        <v>244.70509999999999</v>
      </c>
      <c r="N365" s="41">
        <v>0</v>
      </c>
      <c r="O365" s="42">
        <f>SUM(G365:N365)</f>
        <v>329.89319999999998</v>
      </c>
      <c r="P365" s="42">
        <f>SUMPRODUCT(G365:N365,$G$2:$N$2)*1000/Assumptions!$C$15</f>
        <v>108.26106497947212</v>
      </c>
      <c r="Q365" s="43">
        <f>IF(ISNUMBER(Finder!$G$5),Finder!$D$8*Assumptions!$C$16*2*ASIN(SQRT(SIN(RADIANS(E365-Finder!$G$5)/2)^2+COS(RADIANS(Finder!$G$5))*COS(RADIANS(E365))*SIN(RADIANS(F365-Finder!$G$6)/2)^2)),"")</f>
        <v>638.39066419552387</v>
      </c>
      <c r="R365" s="39">
        <f>IF(ISNUMBER(Q365),IF(Q365&lt;=Finder!$D$7,1,0),0)</f>
        <v>0</v>
      </c>
      <c r="S365" s="39" t="str">
        <f>IF(R365=1,O365+ROW()*0.000000001,"")</f>
        <v/>
      </c>
      <c r="T365" s="39" t="str">
        <f>IF(O365&gt;0,INDEX(Calc!$B$4:$B$11,MATCH(MAX(G365:N365),G365:N365,0)),"-")</f>
        <v>Soya Trash</v>
      </c>
    </row>
    <row r="366" spans="1:20">
      <c r="A366" s="39">
        <v>363</v>
      </c>
      <c r="B366" s="39" t="s">
        <v>392</v>
      </c>
      <c r="C366" s="39" t="s">
        <v>437</v>
      </c>
      <c r="D366" s="39" t="str">
        <f>B366&amp;"|"&amp;C366</f>
        <v>Madhya Pradesh|Sheopur</v>
      </c>
      <c r="E366" s="40">
        <v>25.67</v>
      </c>
      <c r="F366" s="40">
        <v>76.7</v>
      </c>
      <c r="G366" s="41">
        <v>37.380000000000003</v>
      </c>
      <c r="H366" s="41">
        <v>46.8</v>
      </c>
      <c r="I366" s="41">
        <v>1.2588999999999999</v>
      </c>
      <c r="J366" s="41">
        <v>81.398799999999994</v>
      </c>
      <c r="K366" s="41">
        <v>0</v>
      </c>
      <c r="L366" s="41">
        <v>0</v>
      </c>
      <c r="M366" s="41">
        <v>20.5625</v>
      </c>
      <c r="N366" s="41">
        <v>0</v>
      </c>
      <c r="O366" s="42">
        <f>SUM(G366:N366)</f>
        <v>187.40019999999998</v>
      </c>
      <c r="P366" s="42">
        <f>SUMPRODUCT(G366:N366,$G$2:$N$2)*1000/Assumptions!$C$15</f>
        <v>61.666337780645158</v>
      </c>
      <c r="Q366" s="43">
        <f>IF(ISNUMBER(Finder!$G$5),Finder!$D$8*Assumptions!$C$16*2*ASIN(SQRT(SIN(RADIANS(E366-Finder!$G$5)/2)^2+COS(RADIANS(Finder!$G$5))*COS(RADIANS(E366))*SIN(RADIANS(F366-Finder!$G$6)/2)^2)),"")</f>
        <v>398.86042456907751</v>
      </c>
      <c r="R366" s="39">
        <f>IF(ISNUMBER(Q366),IF(Q366&lt;=Finder!$D$7,1,0),0)</f>
        <v>0</v>
      </c>
      <c r="S366" s="39" t="str">
        <f>IF(R366=1,O366+ROW()*0.000000001,"")</f>
        <v/>
      </c>
      <c r="T366" s="39" t="str">
        <f>IF(O366&gt;0,INDEX(Calc!$B$4:$B$11,MATCH(MAX(G366:N366),G366:N366,0)),"-")</f>
        <v>Mustard Stalk</v>
      </c>
    </row>
    <row r="367" spans="1:20">
      <c r="A367" s="39">
        <v>364</v>
      </c>
      <c r="B367" s="39" t="s">
        <v>392</v>
      </c>
      <c r="C367" s="39" t="s">
        <v>438</v>
      </c>
      <c r="D367" s="39" t="str">
        <f>B367&amp;"|"&amp;C367</f>
        <v>Madhya Pradesh|Shivpuri</v>
      </c>
      <c r="E367" s="40">
        <v>25.42</v>
      </c>
      <c r="F367" s="40">
        <v>77.66</v>
      </c>
      <c r="G367" s="41">
        <v>26.04</v>
      </c>
      <c r="H367" s="41">
        <v>110.7</v>
      </c>
      <c r="I367" s="41">
        <v>6.2664</v>
      </c>
      <c r="J367" s="41">
        <v>122.78660000000001</v>
      </c>
      <c r="K367" s="41">
        <v>0.3508</v>
      </c>
      <c r="L367" s="41">
        <v>4.0899999999999999E-2</v>
      </c>
      <c r="M367" s="41">
        <v>120.246</v>
      </c>
      <c r="N367" s="41">
        <v>0</v>
      </c>
      <c r="O367" s="42">
        <f>SUM(G367:N367)</f>
        <v>386.4307</v>
      </c>
      <c r="P367" s="42">
        <f>SUMPRODUCT(G367:N367,$G$2:$N$2)*1000/Assumptions!$C$15</f>
        <v>126.17456529589441</v>
      </c>
      <c r="Q367" s="43">
        <f>IF(ISNUMBER(Finder!$G$5),Finder!$D$8*Assumptions!$C$16*2*ASIN(SQRT(SIN(RADIANS(E367-Finder!$G$5)/2)^2+COS(RADIANS(Finder!$G$5))*COS(RADIANS(E367))*SIN(RADIANS(F367-Finder!$G$6)/2)^2)),"")</f>
        <v>456.89677850606506</v>
      </c>
      <c r="R367" s="39">
        <f>IF(ISNUMBER(Q367),IF(Q367&lt;=Finder!$D$7,1,0),0)</f>
        <v>0</v>
      </c>
      <c r="S367" s="39" t="str">
        <f>IF(R367=1,O367+ROW()*0.000000001,"")</f>
        <v/>
      </c>
      <c r="T367" s="39" t="str">
        <f>IF(O367&gt;0,INDEX(Calc!$B$4:$B$11,MATCH(MAX(G367:N367),G367:N367,0)),"-")</f>
        <v>Mustard Stalk</v>
      </c>
    </row>
    <row r="368" spans="1:20">
      <c r="A368" s="39">
        <v>365</v>
      </c>
      <c r="B368" s="39" t="s">
        <v>392</v>
      </c>
      <c r="C368" s="39" t="s">
        <v>439</v>
      </c>
      <c r="D368" s="39" t="str">
        <f>B368&amp;"|"&amp;C368</f>
        <v>Madhya Pradesh|Sidhi</v>
      </c>
      <c r="E368" s="40">
        <v>24.4</v>
      </c>
      <c r="F368" s="40">
        <v>81.88</v>
      </c>
      <c r="G368" s="41">
        <v>39.06</v>
      </c>
      <c r="H368" s="41">
        <v>35.1</v>
      </c>
      <c r="I368" s="41">
        <v>4.0220000000000002</v>
      </c>
      <c r="J368" s="41">
        <v>3.2223999999999999</v>
      </c>
      <c r="K368" s="41">
        <v>0</v>
      </c>
      <c r="L368" s="41">
        <v>0</v>
      </c>
      <c r="M368" s="41">
        <v>1.23E-2</v>
      </c>
      <c r="N368" s="41">
        <v>0</v>
      </c>
      <c r="O368" s="42">
        <f>SUM(G368:N368)</f>
        <v>81.416699999999992</v>
      </c>
      <c r="P368" s="42">
        <f>SUMPRODUCT(G368:N368,$G$2:$N$2)*1000/Assumptions!$C$15</f>
        <v>29.318718309677422</v>
      </c>
      <c r="Q368" s="43">
        <f>IF(ISNUMBER(Finder!$G$5),Finder!$D$8*Assumptions!$C$16*2*ASIN(SQRT(SIN(RADIANS(E368-Finder!$G$5)/2)^2+COS(RADIANS(Finder!$G$5))*COS(RADIANS(E368))*SIN(RADIANS(F368-Finder!$G$6)/2)^2)),"")</f>
        <v>807.76017696633778</v>
      </c>
      <c r="R368" s="39">
        <f>IF(ISNUMBER(Q368),IF(Q368&lt;=Finder!$D$7,1,0),0)</f>
        <v>0</v>
      </c>
      <c r="S368" s="39" t="str">
        <f>IF(R368=1,O368+ROW()*0.000000001,"")</f>
        <v/>
      </c>
      <c r="T368" s="39" t="str">
        <f>IF(O368&gt;0,INDEX(Calc!$B$4:$B$11,MATCH(MAX(G368:N368),G368:N368,0)),"-")</f>
        <v>Paddy Straw</v>
      </c>
    </row>
    <row r="369" spans="1:20">
      <c r="A369" s="39">
        <v>366</v>
      </c>
      <c r="B369" s="39" t="s">
        <v>392</v>
      </c>
      <c r="C369" s="39" t="s">
        <v>440</v>
      </c>
      <c r="D369" s="39" t="str">
        <f>B369&amp;"|"&amp;C369</f>
        <v>Madhya Pradesh|Singrauli</v>
      </c>
      <c r="E369" s="40">
        <v>24.2</v>
      </c>
      <c r="F369" s="40">
        <v>82.67</v>
      </c>
      <c r="G369" s="41">
        <v>38.22</v>
      </c>
      <c r="H369" s="41">
        <v>24.75</v>
      </c>
      <c r="I369" s="41">
        <v>13.4809</v>
      </c>
      <c r="J369" s="41">
        <v>10.645300000000001</v>
      </c>
      <c r="K369" s="41">
        <v>2.0199999999999999E-2</v>
      </c>
      <c r="L369" s="41">
        <v>2.3999999999999998E-3</v>
      </c>
      <c r="M369" s="41">
        <v>9.5999999999999992E-3</v>
      </c>
      <c r="N369" s="41">
        <v>0</v>
      </c>
      <c r="O369" s="42">
        <f>SUM(G369:N369)</f>
        <v>87.128400000000013</v>
      </c>
      <c r="P369" s="42">
        <f>SUMPRODUCT(G369:N369,$G$2:$N$2)*1000/Assumptions!$C$15</f>
        <v>30.189043283284462</v>
      </c>
      <c r="Q369" s="43">
        <f>IF(ISNUMBER(Finder!$G$5),Finder!$D$8*Assumptions!$C$16*2*ASIN(SQRT(SIN(RADIANS(E369-Finder!$G$5)/2)^2+COS(RADIANS(Finder!$G$5))*COS(RADIANS(E369))*SIN(RADIANS(F369-Finder!$G$6)/2)^2)),"")</f>
        <v>882.71208369287581</v>
      </c>
      <c r="R369" s="39">
        <f>IF(ISNUMBER(Q369),IF(Q369&lt;=Finder!$D$7,1,0),0)</f>
        <v>0</v>
      </c>
      <c r="S369" s="39" t="str">
        <f>IF(R369=1,O369+ROW()*0.000000001,"")</f>
        <v/>
      </c>
      <c r="T369" s="39" t="str">
        <f>IF(O369&gt;0,INDEX(Calc!$B$4:$B$11,MATCH(MAX(G369:N369),G369:N369,0)),"-")</f>
        <v>Paddy Straw</v>
      </c>
    </row>
    <row r="370" spans="1:20">
      <c r="A370" s="39">
        <v>367</v>
      </c>
      <c r="B370" s="39" t="s">
        <v>392</v>
      </c>
      <c r="C370" s="39" t="s">
        <v>441</v>
      </c>
      <c r="D370" s="39" t="str">
        <f>B370&amp;"|"&amp;C370</f>
        <v>Madhya Pradesh|Tikamgarh</v>
      </c>
      <c r="E370" s="40">
        <v>24.74</v>
      </c>
      <c r="F370" s="40">
        <v>78.83</v>
      </c>
      <c r="G370" s="41">
        <v>2.52</v>
      </c>
      <c r="H370" s="41">
        <v>75.599999999999994</v>
      </c>
      <c r="I370" s="41">
        <v>9.6100000000000005E-2</v>
      </c>
      <c r="J370" s="41">
        <v>10.5589</v>
      </c>
      <c r="K370" s="41">
        <v>3.3999999999999998E-3</v>
      </c>
      <c r="L370" s="41">
        <v>4.0000000000000002E-4</v>
      </c>
      <c r="M370" s="41">
        <v>2.7029000000000001</v>
      </c>
      <c r="N370" s="41">
        <v>0</v>
      </c>
      <c r="O370" s="42">
        <f>SUM(G370:N370)</f>
        <v>91.481699999999989</v>
      </c>
      <c r="P370" s="42">
        <f>SUMPRODUCT(G370:N370,$G$2:$N$2)*1000/Assumptions!$C$15</f>
        <v>32.624381754838709</v>
      </c>
      <c r="Q370" s="43">
        <f>IF(ISNUMBER(Finder!$G$5),Finder!$D$8*Assumptions!$C$16*2*ASIN(SQRT(SIN(RADIANS(E370-Finder!$G$5)/2)^2+COS(RADIANS(Finder!$G$5))*COS(RADIANS(E370))*SIN(RADIANS(F370-Finder!$G$6)/2)^2)),"")</f>
        <v>579.14401334432068</v>
      </c>
      <c r="R370" s="39">
        <f>IF(ISNUMBER(Q370),IF(Q370&lt;=Finder!$D$7,1,0),0)</f>
        <v>0</v>
      </c>
      <c r="S370" s="39" t="str">
        <f>IF(R370=1,O370+ROW()*0.000000001,"")</f>
        <v/>
      </c>
      <c r="T370" s="39" t="str">
        <f>IF(O370&gt;0,INDEX(Calc!$B$4:$B$11,MATCH(MAX(G370:N370),G370:N370,0)),"-")</f>
        <v>Wheat Straw</v>
      </c>
    </row>
    <row r="371" spans="1:20">
      <c r="A371" s="39">
        <v>368</v>
      </c>
      <c r="B371" s="39" t="s">
        <v>392</v>
      </c>
      <c r="C371" s="39" t="s">
        <v>442</v>
      </c>
      <c r="D371" s="39" t="str">
        <f>B371&amp;"|"&amp;C371</f>
        <v>Madhya Pradesh|Ujjain</v>
      </c>
      <c r="E371" s="40">
        <v>23.18</v>
      </c>
      <c r="F371" s="40">
        <v>75.78</v>
      </c>
      <c r="G371" s="41">
        <v>0.42</v>
      </c>
      <c r="H371" s="41">
        <v>153.44999999999999</v>
      </c>
      <c r="I371" s="41">
        <v>0.6583</v>
      </c>
      <c r="J371" s="41">
        <v>1.8092999999999999</v>
      </c>
      <c r="K371" s="41">
        <v>6.3E-3</v>
      </c>
      <c r="L371" s="41">
        <v>6.9999999999999999E-4</v>
      </c>
      <c r="M371" s="41">
        <v>562.23469999999998</v>
      </c>
      <c r="N371" s="41">
        <v>0</v>
      </c>
      <c r="O371" s="42">
        <f>SUM(G371:N371)</f>
        <v>718.57929999999999</v>
      </c>
      <c r="P371" s="42">
        <f>SUMPRODUCT(G371:N371,$G$2:$N$2)*1000/Assumptions!$C$15</f>
        <v>234.6771317175953</v>
      </c>
      <c r="Q371" s="43">
        <f>IF(ISNUMBER(Finder!$G$5),Finder!$D$8*Assumptions!$C$16*2*ASIN(SQRT(SIN(RADIANS(E371-Finder!$G$5)/2)^2+COS(RADIANS(Finder!$G$5))*COS(RADIANS(E371))*SIN(RADIANS(F371-Finder!$G$6)/2)^2)),"")</f>
        <v>663.86067654046906</v>
      </c>
      <c r="R371" s="39">
        <f>IF(ISNUMBER(Q371),IF(Q371&lt;=Finder!$D$7,1,0),0)</f>
        <v>0</v>
      </c>
      <c r="S371" s="39" t="str">
        <f>IF(R371=1,O371+ROW()*0.000000001,"")</f>
        <v/>
      </c>
      <c r="T371" s="39" t="str">
        <f>IF(O371&gt;0,INDEX(Calc!$B$4:$B$11,MATCH(MAX(G371:N371),G371:N371,0)),"-")</f>
        <v>Soya Trash</v>
      </c>
    </row>
    <row r="372" spans="1:20">
      <c r="A372" s="39">
        <v>369</v>
      </c>
      <c r="B372" s="39" t="s">
        <v>392</v>
      </c>
      <c r="C372" s="39" t="s">
        <v>443</v>
      </c>
      <c r="D372" s="39" t="str">
        <f>B372&amp;"|"&amp;C372</f>
        <v>Madhya Pradesh|Umaria</v>
      </c>
      <c r="E372" s="40">
        <v>23.52</v>
      </c>
      <c r="F372" s="40">
        <v>80.84</v>
      </c>
      <c r="G372" s="41">
        <v>36.96</v>
      </c>
      <c r="H372" s="41">
        <v>25.65</v>
      </c>
      <c r="I372" s="41">
        <v>5.6657999999999999</v>
      </c>
      <c r="J372" s="41">
        <v>1.3548</v>
      </c>
      <c r="K372" s="41">
        <v>4.0000000000000002E-4</v>
      </c>
      <c r="L372" s="41">
        <v>0</v>
      </c>
      <c r="M372" s="41">
        <v>0.7359</v>
      </c>
      <c r="N372" s="41">
        <v>0</v>
      </c>
      <c r="O372" s="42">
        <f>SUM(G372:N372)</f>
        <v>70.366900000000001</v>
      </c>
      <c r="P372" s="42">
        <f>SUMPRODUCT(G372:N372,$G$2:$N$2)*1000/Assumptions!$C$15</f>
        <v>25.247808694428144</v>
      </c>
      <c r="Q372" s="43">
        <f>IF(ISNUMBER(Finder!$G$5),Finder!$D$8*Assumptions!$C$16*2*ASIN(SQRT(SIN(RADIANS(E372-Finder!$G$5)/2)^2+COS(RADIANS(Finder!$G$5))*COS(RADIANS(E372))*SIN(RADIANS(F372-Finder!$G$6)/2)^2)),"")</f>
        <v>807.37164089091914</v>
      </c>
      <c r="R372" s="39">
        <f>IF(ISNUMBER(Q372),IF(Q372&lt;=Finder!$D$7,1,0),0)</f>
        <v>0</v>
      </c>
      <c r="S372" s="39" t="str">
        <f>IF(R372=1,O372+ROW()*0.000000001,"")</f>
        <v/>
      </c>
      <c r="T372" s="39" t="str">
        <f>IF(O372&gt;0,INDEX(Calc!$B$4:$B$11,MATCH(MAX(G372:N372),G372:N372,0)),"-")</f>
        <v>Paddy Straw</v>
      </c>
    </row>
    <row r="373" spans="1:20">
      <c r="A373" s="39">
        <v>370</v>
      </c>
      <c r="B373" s="39" t="s">
        <v>392</v>
      </c>
      <c r="C373" s="39" t="s">
        <v>444</v>
      </c>
      <c r="D373" s="39" t="str">
        <f>B373&amp;"|"&amp;C373</f>
        <v>Madhya Pradesh|Vidisha</v>
      </c>
      <c r="E373" s="40">
        <v>23.52</v>
      </c>
      <c r="F373" s="40">
        <v>77.81</v>
      </c>
      <c r="G373" s="41">
        <v>43.26</v>
      </c>
      <c r="H373" s="41">
        <v>123.75</v>
      </c>
      <c r="I373" s="41">
        <v>6.7729999999999997</v>
      </c>
      <c r="J373" s="41">
        <v>10.5938</v>
      </c>
      <c r="K373" s="41">
        <v>1.46E-2</v>
      </c>
      <c r="L373" s="41">
        <v>1.6999999999999999E-3</v>
      </c>
      <c r="M373" s="41">
        <v>351.85849999999999</v>
      </c>
      <c r="N373" s="41">
        <v>0</v>
      </c>
      <c r="O373" s="42">
        <f>SUM(G373:N373)</f>
        <v>536.25159999999994</v>
      </c>
      <c r="P373" s="42">
        <f>SUMPRODUCT(G373:N373,$G$2:$N$2)*1000/Assumptions!$C$15</f>
        <v>177.44498271055718</v>
      </c>
      <c r="Q373" s="43">
        <f>IF(ISNUMBER(Finder!$G$5),Finder!$D$8*Assumptions!$C$16*2*ASIN(SQRT(SIN(RADIANS(E373-Finder!$G$5)/2)^2+COS(RADIANS(Finder!$G$5))*COS(RADIANS(E373))*SIN(RADIANS(F373-Finder!$G$6)/2)^2)),"")</f>
        <v>659.71858734820785</v>
      </c>
      <c r="R373" s="39">
        <f>IF(ISNUMBER(Q373),IF(Q373&lt;=Finder!$D$7,1,0),0)</f>
        <v>0</v>
      </c>
      <c r="S373" s="39" t="str">
        <f>IF(R373=1,O373+ROW()*0.000000001,"")</f>
        <v/>
      </c>
      <c r="T373" s="39" t="str">
        <f>IF(O373&gt;0,INDEX(Calc!$B$4:$B$11,MATCH(MAX(G373:N373),G373:N373,0)),"-")</f>
        <v>Soya Trash</v>
      </c>
    </row>
    <row r="374" spans="1:20">
      <c r="A374" s="39">
        <v>371</v>
      </c>
      <c r="B374" s="39" t="s">
        <v>445</v>
      </c>
      <c r="C374" s="39" t="s">
        <v>446</v>
      </c>
      <c r="D374" s="39" t="str">
        <f>B374&amp;"|"&amp;C374</f>
        <v>Maharashtra|Ahilyanagar</v>
      </c>
      <c r="E374" s="40">
        <v>19.09</v>
      </c>
      <c r="F374" s="40">
        <v>74.739999999999995</v>
      </c>
      <c r="G374" s="41">
        <v>7.98</v>
      </c>
      <c r="H374" s="41">
        <v>57.6</v>
      </c>
      <c r="I374" s="41">
        <v>227.92269999999999</v>
      </c>
      <c r="J374" s="41">
        <v>0</v>
      </c>
      <c r="K374" s="41">
        <v>3168</v>
      </c>
      <c r="L374" s="41">
        <v>369.6</v>
      </c>
      <c r="M374" s="41">
        <v>355.0829</v>
      </c>
      <c r="N374" s="41">
        <v>0</v>
      </c>
      <c r="O374" s="42">
        <f>SUM(G374:N374)</f>
        <v>4186.1855999999998</v>
      </c>
      <c r="P374" s="42">
        <f>SUMPRODUCT(G374:N374,$G$2:$N$2)*1000/Assumptions!$C$15</f>
        <v>1237.6702682604107</v>
      </c>
      <c r="Q374" s="43">
        <f>IF(ISNUMBER(Finder!$G$5),Finder!$D$8*Assumptions!$C$16*2*ASIN(SQRT(SIN(RADIANS(E374-Finder!$G$5)/2)^2+COS(RADIANS(Finder!$G$5))*COS(RADIANS(E374))*SIN(RADIANS(F374-Finder!$G$6)/2)^2)),"")</f>
        <v>1123.0154725392958</v>
      </c>
      <c r="R374" s="39">
        <f>IF(ISNUMBER(Q374),IF(Q374&lt;=Finder!$D$7,1,0),0)</f>
        <v>0</v>
      </c>
      <c r="S374" s="39" t="str">
        <f>IF(R374=1,O374+ROW()*0.000000001,"")</f>
        <v/>
      </c>
      <c r="T374" s="39" t="str">
        <f>IF(O374&gt;0,INDEX(Calc!$B$4:$B$11,MATCH(MAX(G374:N374),G374:N374,0)),"-")</f>
        <v>Cane Trash</v>
      </c>
    </row>
    <row r="375" spans="1:20">
      <c r="A375" s="39">
        <v>372</v>
      </c>
      <c r="B375" s="39" t="s">
        <v>445</v>
      </c>
      <c r="C375" s="39" t="s">
        <v>447</v>
      </c>
      <c r="D375" s="39" t="str">
        <f>B375&amp;"|"&amp;C375</f>
        <v>Maharashtra|Akola</v>
      </c>
      <c r="E375" s="40">
        <v>20.7</v>
      </c>
      <c r="F375" s="40">
        <v>77</v>
      </c>
      <c r="G375" s="41">
        <v>0</v>
      </c>
      <c r="H375" s="41">
        <v>13.05</v>
      </c>
      <c r="I375" s="41">
        <v>2.0036</v>
      </c>
      <c r="J375" s="41">
        <v>0</v>
      </c>
      <c r="K375" s="41">
        <v>1.4953000000000001</v>
      </c>
      <c r="L375" s="41">
        <v>0.1744</v>
      </c>
      <c r="M375" s="41">
        <v>678.45759999999996</v>
      </c>
      <c r="N375" s="41">
        <v>0</v>
      </c>
      <c r="O375" s="42">
        <f>SUM(G375:N375)</f>
        <v>695.18089999999995</v>
      </c>
      <c r="P375" s="42">
        <f>SUMPRODUCT(G375:N375,$G$2:$N$2)*1000/Assumptions!$C$15</f>
        <v>220.11056066979475</v>
      </c>
      <c r="Q375" s="43">
        <f>IF(ISNUMBER(Finder!$G$5),Finder!$D$8*Assumptions!$C$16*2*ASIN(SQRT(SIN(RADIANS(E375-Finder!$G$5)/2)^2+COS(RADIANS(Finder!$G$5))*COS(RADIANS(E375))*SIN(RADIANS(F375-Finder!$G$6)/2)^2)),"")</f>
        <v>948.39478453872391</v>
      </c>
      <c r="R375" s="39">
        <f>IF(ISNUMBER(Q375),IF(Q375&lt;=Finder!$D$7,1,0),0)</f>
        <v>0</v>
      </c>
      <c r="S375" s="39" t="str">
        <f>IF(R375=1,O375+ROW()*0.000000001,"")</f>
        <v/>
      </c>
      <c r="T375" s="39" t="str">
        <f>IF(O375&gt;0,INDEX(Calc!$B$4:$B$11,MATCH(MAX(G375:N375),G375:N375,0)),"-")</f>
        <v>Soya Trash</v>
      </c>
    </row>
    <row r="376" spans="1:20">
      <c r="A376" s="39">
        <v>373</v>
      </c>
      <c r="B376" s="39" t="s">
        <v>445</v>
      </c>
      <c r="C376" s="39" t="s">
        <v>448</v>
      </c>
      <c r="D376" s="39" t="str">
        <f>B376&amp;"|"&amp;C376</f>
        <v>Maharashtra|Amravati</v>
      </c>
      <c r="E376" s="40">
        <v>20.93</v>
      </c>
      <c r="F376" s="40">
        <v>77.75</v>
      </c>
      <c r="G376" s="41">
        <v>2.52</v>
      </c>
      <c r="H376" s="41">
        <v>23.4</v>
      </c>
      <c r="I376" s="41">
        <v>35.268599999999999</v>
      </c>
      <c r="J376" s="41">
        <v>0</v>
      </c>
      <c r="K376" s="41">
        <v>2.5329000000000002</v>
      </c>
      <c r="L376" s="41">
        <v>0.29549999999999998</v>
      </c>
      <c r="M376" s="41">
        <v>316.93619999999999</v>
      </c>
      <c r="N376" s="41">
        <v>0</v>
      </c>
      <c r="O376" s="42">
        <f>SUM(G376:N376)</f>
        <v>380.95319999999998</v>
      </c>
      <c r="P376" s="42">
        <f>SUMPRODUCT(G376:N376,$G$2:$N$2)*1000/Assumptions!$C$15</f>
        <v>120.78845658211145</v>
      </c>
      <c r="Q376" s="43">
        <f>IF(ISNUMBER(Finder!$G$5),Finder!$D$8*Assumptions!$C$16*2*ASIN(SQRT(SIN(RADIANS(E376-Finder!$G$5)/2)^2+COS(RADIANS(Finder!$G$5))*COS(RADIANS(E376))*SIN(RADIANS(F376-Finder!$G$6)/2)^2)),"")</f>
        <v>936.55839638035536</v>
      </c>
      <c r="R376" s="39">
        <f>IF(ISNUMBER(Q376),IF(Q376&lt;=Finder!$D$7,1,0),0)</f>
        <v>0</v>
      </c>
      <c r="S376" s="39" t="str">
        <f>IF(R376=1,O376+ROW()*0.000000001,"")</f>
        <v/>
      </c>
      <c r="T376" s="39" t="str">
        <f>IF(O376&gt;0,INDEX(Calc!$B$4:$B$11,MATCH(MAX(G376:N376),G376:N376,0)),"-")</f>
        <v>Soya Trash</v>
      </c>
    </row>
    <row r="377" spans="1:20">
      <c r="A377" s="39">
        <v>374</v>
      </c>
      <c r="B377" s="39" t="s">
        <v>445</v>
      </c>
      <c r="C377" s="39" t="s">
        <v>449</v>
      </c>
      <c r="D377" s="39" t="str">
        <f>B377&amp;"|"&amp;C377</f>
        <v>Maharashtra|Beed</v>
      </c>
      <c r="E377" s="40">
        <v>18.989999999999998</v>
      </c>
      <c r="F377" s="40">
        <v>75.760000000000005</v>
      </c>
      <c r="G377" s="41">
        <v>0</v>
      </c>
      <c r="H377" s="41">
        <v>21.6</v>
      </c>
      <c r="I377" s="41">
        <v>22.681699999999999</v>
      </c>
      <c r="J377" s="41">
        <v>0</v>
      </c>
      <c r="K377" s="41">
        <v>1212.5952</v>
      </c>
      <c r="L377" s="41">
        <v>141.46940000000001</v>
      </c>
      <c r="M377" s="41">
        <v>890.84630000000004</v>
      </c>
      <c r="N377" s="41">
        <v>0</v>
      </c>
      <c r="O377" s="42">
        <f>SUM(G377:N377)</f>
        <v>2289.1925999999999</v>
      </c>
      <c r="P377" s="42">
        <f>SUMPRODUCT(G377:N377,$G$2:$N$2)*1000/Assumptions!$C$15</f>
        <v>691.85917510674494</v>
      </c>
      <c r="Q377" s="43">
        <f>IF(ISNUMBER(Finder!$G$5),Finder!$D$8*Assumptions!$C$16*2*ASIN(SQRT(SIN(RADIANS(E377-Finder!$G$5)/2)^2+COS(RADIANS(Finder!$G$5))*COS(RADIANS(E377))*SIN(RADIANS(F377-Finder!$G$6)/2)^2)),"")</f>
        <v>1129.7477231533721</v>
      </c>
      <c r="R377" s="39">
        <f>IF(ISNUMBER(Q377),IF(Q377&lt;=Finder!$D$7,1,0),0)</f>
        <v>0</v>
      </c>
      <c r="S377" s="39" t="str">
        <f>IF(R377=1,O377+ROW()*0.000000001,"")</f>
        <v/>
      </c>
      <c r="T377" s="39" t="str">
        <f>IF(O377&gt;0,INDEX(Calc!$B$4:$B$11,MATCH(MAX(G377:N377),G377:N377,0)),"-")</f>
        <v>Cane Trash</v>
      </c>
    </row>
    <row r="378" spans="1:20">
      <c r="A378" s="39">
        <v>375</v>
      </c>
      <c r="B378" s="39" t="s">
        <v>445</v>
      </c>
      <c r="C378" s="39" t="s">
        <v>450</v>
      </c>
      <c r="D378" s="39" t="str">
        <f>B378&amp;"|"&amp;C378</f>
        <v>Maharashtra|Bhandara</v>
      </c>
      <c r="E378" s="40">
        <v>21.17</v>
      </c>
      <c r="F378" s="40">
        <v>79.650000000000006</v>
      </c>
      <c r="G378" s="41">
        <v>105</v>
      </c>
      <c r="H378" s="41">
        <v>5.85</v>
      </c>
      <c r="I378" s="41">
        <v>1.6660999999999999</v>
      </c>
      <c r="J378" s="41">
        <v>0</v>
      </c>
      <c r="K378" s="41">
        <v>21.862400000000001</v>
      </c>
      <c r="L378" s="41">
        <v>2.5506000000000002</v>
      </c>
      <c r="M378" s="41">
        <v>0.62129999999999996</v>
      </c>
      <c r="N378" s="41">
        <v>0</v>
      </c>
      <c r="O378" s="42">
        <f>SUM(G378:N378)</f>
        <v>137.5504</v>
      </c>
      <c r="P378" s="42">
        <f>SUMPRODUCT(G378:N378,$G$2:$N$2)*1000/Assumptions!$C$15</f>
        <v>48.457621068035188</v>
      </c>
      <c r="Q378" s="43">
        <f>IF(ISNUMBER(Finder!$G$5),Finder!$D$8*Assumptions!$C$16*2*ASIN(SQRT(SIN(RADIANS(E378-Finder!$G$5)/2)^2+COS(RADIANS(Finder!$G$5))*COS(RADIANS(E378))*SIN(RADIANS(F378-Finder!$G$6)/2)^2)),"")</f>
        <v>971.27802209211256</v>
      </c>
      <c r="R378" s="39">
        <f>IF(ISNUMBER(Q378),IF(Q378&lt;=Finder!$D$7,1,0),0)</f>
        <v>0</v>
      </c>
      <c r="S378" s="39" t="str">
        <f>IF(R378=1,O378+ROW()*0.000000001,"")</f>
        <v/>
      </c>
      <c r="T378" s="39" t="str">
        <f>IF(O378&gt;0,INDEX(Calc!$B$4:$B$11,MATCH(MAX(G378:N378),G378:N378,0)),"-")</f>
        <v>Paddy Straw</v>
      </c>
    </row>
    <row r="379" spans="1:20">
      <c r="A379" s="39">
        <v>376</v>
      </c>
      <c r="B379" s="39" t="s">
        <v>445</v>
      </c>
      <c r="C379" s="39" t="s">
        <v>451</v>
      </c>
      <c r="D379" s="39" t="str">
        <f>B379&amp;"|"&amp;C379</f>
        <v>Maharashtra|Buldhana</v>
      </c>
      <c r="E379" s="40">
        <v>20.53</v>
      </c>
      <c r="F379" s="40">
        <v>76.180000000000007</v>
      </c>
      <c r="G379" s="41">
        <v>0</v>
      </c>
      <c r="H379" s="41">
        <v>30.6</v>
      </c>
      <c r="I379" s="41">
        <v>169.81649999999999</v>
      </c>
      <c r="J379" s="41">
        <v>0</v>
      </c>
      <c r="K379" s="41">
        <v>11.3828</v>
      </c>
      <c r="L379" s="41">
        <v>1.3280000000000001</v>
      </c>
      <c r="M379" s="41">
        <v>1386.7620999999999</v>
      </c>
      <c r="N379" s="41">
        <v>0</v>
      </c>
      <c r="O379" s="42">
        <f>SUM(G379:N379)</f>
        <v>1599.8894</v>
      </c>
      <c r="P379" s="42">
        <f>SUMPRODUCT(G379:N379,$G$2:$N$2)*1000/Assumptions!$C$15</f>
        <v>502.81434041524932</v>
      </c>
      <c r="Q379" s="43">
        <f>IF(ISNUMBER(Finder!$G$5),Finder!$D$8*Assumptions!$C$16*2*ASIN(SQRT(SIN(RADIANS(E379-Finder!$G$5)/2)^2+COS(RADIANS(Finder!$G$5))*COS(RADIANS(E379))*SIN(RADIANS(F379-Finder!$G$6)/2)^2)),"")</f>
        <v>959.62006268569019</v>
      </c>
      <c r="R379" s="39">
        <f>IF(ISNUMBER(Q379),IF(Q379&lt;=Finder!$D$7,1,0),0)</f>
        <v>0</v>
      </c>
      <c r="S379" s="39" t="str">
        <f>IF(R379=1,O379+ROW()*0.000000001,"")</f>
        <v/>
      </c>
      <c r="T379" s="39" t="str">
        <f>IF(O379&gt;0,INDEX(Calc!$B$4:$B$11,MATCH(MAX(G379:N379),G379:N379,0)),"-")</f>
        <v>Soya Trash</v>
      </c>
    </row>
    <row r="380" spans="1:20">
      <c r="A380" s="39">
        <v>377</v>
      </c>
      <c r="B380" s="39" t="s">
        <v>445</v>
      </c>
      <c r="C380" s="39" t="s">
        <v>452</v>
      </c>
      <c r="D380" s="39" t="str">
        <f>B380&amp;"|"&amp;C380</f>
        <v>Maharashtra|Chandrapur</v>
      </c>
      <c r="E380" s="40">
        <v>19.95</v>
      </c>
      <c r="F380" s="40">
        <v>79.3</v>
      </c>
      <c r="G380" s="41">
        <v>83.58</v>
      </c>
      <c r="H380" s="41">
        <v>7.2</v>
      </c>
      <c r="I380" s="41">
        <v>2.7077</v>
      </c>
      <c r="J380" s="41">
        <v>0</v>
      </c>
      <c r="K380" s="41">
        <v>0.19439999999999999</v>
      </c>
      <c r="L380" s="41">
        <v>2.2700000000000001E-2</v>
      </c>
      <c r="M380" s="41">
        <v>191.81469999999999</v>
      </c>
      <c r="N380" s="41">
        <v>0</v>
      </c>
      <c r="O380" s="42">
        <f>SUM(G380:N380)</f>
        <v>285.51949999999999</v>
      </c>
      <c r="P380" s="42">
        <f>SUMPRODUCT(G380:N380,$G$2:$N$2)*1000/Assumptions!$C$15</f>
        <v>94.708775829032263</v>
      </c>
      <c r="Q380" s="43">
        <f>IF(ISNUMBER(Finder!$G$5),Finder!$D$8*Assumptions!$C$16*2*ASIN(SQRT(SIN(RADIANS(E380-Finder!$G$5)/2)^2+COS(RADIANS(Finder!$G$5))*COS(RADIANS(E380))*SIN(RADIANS(F380-Finder!$G$6)/2)^2)),"")</f>
        <v>1084.9697978345223</v>
      </c>
      <c r="R380" s="39">
        <f>IF(ISNUMBER(Q380),IF(Q380&lt;=Finder!$D$7,1,0),0)</f>
        <v>0</v>
      </c>
      <c r="S380" s="39" t="str">
        <f>IF(R380=1,O380+ROW()*0.000000001,"")</f>
        <v/>
      </c>
      <c r="T380" s="39" t="str">
        <f>IF(O380&gt;0,INDEX(Calc!$B$4:$B$11,MATCH(MAX(G380:N380),G380:N380,0)),"-")</f>
        <v>Soya Trash</v>
      </c>
    </row>
    <row r="381" spans="1:20">
      <c r="A381" s="39">
        <v>378</v>
      </c>
      <c r="B381" s="39" t="s">
        <v>445</v>
      </c>
      <c r="C381" s="39" t="s">
        <v>453</v>
      </c>
      <c r="D381" s="39" t="str">
        <f>B381&amp;"|"&amp;C381</f>
        <v>Maharashtra|Chhatrapati Sambhajinagar</v>
      </c>
      <c r="E381" s="40">
        <v>19.88</v>
      </c>
      <c r="F381" s="40">
        <v>75.34</v>
      </c>
      <c r="G381" s="41">
        <v>0</v>
      </c>
      <c r="H381" s="41">
        <v>39.6</v>
      </c>
      <c r="I381" s="41">
        <v>236.76339999999999</v>
      </c>
      <c r="J381" s="41">
        <v>0</v>
      </c>
      <c r="K381" s="41">
        <v>577.72799999999995</v>
      </c>
      <c r="L381" s="41">
        <v>67.401600000000002</v>
      </c>
      <c r="M381" s="41">
        <v>42.340499999999999</v>
      </c>
      <c r="N381" s="41">
        <v>0</v>
      </c>
      <c r="O381" s="42">
        <f>SUM(G381:N381)</f>
        <v>963.83350000000007</v>
      </c>
      <c r="P381" s="42">
        <f>SUMPRODUCT(G381:N381,$G$2:$N$2)*1000/Assumptions!$C$15</f>
        <v>286.18370346392959</v>
      </c>
      <c r="Q381" s="43">
        <f>IF(ISNUMBER(Finder!$G$5),Finder!$D$8*Assumptions!$C$16*2*ASIN(SQRT(SIN(RADIANS(E381-Finder!$G$5)/2)^2+COS(RADIANS(Finder!$G$5))*COS(RADIANS(E381))*SIN(RADIANS(F381-Finder!$G$6)/2)^2)),"")</f>
        <v>1031.4911225563094</v>
      </c>
      <c r="R381" s="39">
        <f>IF(ISNUMBER(Q381),IF(Q381&lt;=Finder!$D$7,1,0),0)</f>
        <v>0</v>
      </c>
      <c r="S381" s="39" t="str">
        <f>IF(R381=1,O381+ROW()*0.000000001,"")</f>
        <v/>
      </c>
      <c r="T381" s="39" t="str">
        <f>IF(O381&gt;0,INDEX(Calc!$B$4:$B$11,MATCH(MAX(G381:N381),G381:N381,0)),"-")</f>
        <v>Cane Trash</v>
      </c>
    </row>
    <row r="382" spans="1:20">
      <c r="A382" s="39">
        <v>379</v>
      </c>
      <c r="B382" s="39" t="s">
        <v>445</v>
      </c>
      <c r="C382" s="39" t="s">
        <v>454</v>
      </c>
      <c r="D382" s="39" t="str">
        <f>B382&amp;"|"&amp;C382</f>
        <v>Maharashtra|Dharashiv</v>
      </c>
      <c r="E382" s="40">
        <v>18.190000000000001</v>
      </c>
      <c r="F382" s="40">
        <v>76.040000000000006</v>
      </c>
      <c r="G382" s="41">
        <v>0</v>
      </c>
      <c r="H382" s="41">
        <v>10.8</v>
      </c>
      <c r="I382" s="41">
        <v>33.1706</v>
      </c>
      <c r="J382" s="41">
        <v>0</v>
      </c>
      <c r="K382" s="41">
        <v>728.50409999999999</v>
      </c>
      <c r="L382" s="41">
        <v>84.992099999999994</v>
      </c>
      <c r="M382" s="41">
        <v>876.2328</v>
      </c>
      <c r="N382" s="41">
        <v>0</v>
      </c>
      <c r="O382" s="42">
        <f>SUM(G382:N382)</f>
        <v>1733.6995999999999</v>
      </c>
      <c r="P382" s="42">
        <f>SUMPRODUCT(G382:N382,$G$2:$N$2)*1000/Assumptions!$C$15</f>
        <v>528.30057796920823</v>
      </c>
      <c r="Q382" s="43">
        <f>IF(ISNUMBER(Finder!$G$5),Finder!$D$8*Assumptions!$C$16*2*ASIN(SQRT(SIN(RADIANS(E382-Finder!$G$5)/2)^2+COS(RADIANS(Finder!$G$5))*COS(RADIANS(E382))*SIN(RADIANS(F382-Finder!$G$6)/2)^2)),"")</f>
        <v>1219.1299483892044</v>
      </c>
      <c r="R382" s="39">
        <f>IF(ISNUMBER(Q382),IF(Q382&lt;=Finder!$D$7,1,0),0)</f>
        <v>0</v>
      </c>
      <c r="S382" s="39" t="str">
        <f>IF(R382=1,O382+ROW()*0.000000001,"")</f>
        <v/>
      </c>
      <c r="T382" s="39" t="str">
        <f>IF(O382&gt;0,INDEX(Calc!$B$4:$B$11,MATCH(MAX(G382:N382),G382:N382,0)),"-")</f>
        <v>Soya Trash</v>
      </c>
    </row>
    <row r="383" spans="1:20">
      <c r="A383" s="39">
        <v>380</v>
      </c>
      <c r="B383" s="39" t="s">
        <v>445</v>
      </c>
      <c r="C383" s="39" t="s">
        <v>455</v>
      </c>
      <c r="D383" s="39" t="str">
        <f>B383&amp;"|"&amp;C383</f>
        <v>Maharashtra|Dhule</v>
      </c>
      <c r="E383" s="40">
        <v>20.9</v>
      </c>
      <c r="F383" s="40">
        <v>74.77</v>
      </c>
      <c r="G383" s="41">
        <v>2.1</v>
      </c>
      <c r="H383" s="41">
        <v>19.350000000000001</v>
      </c>
      <c r="I383" s="41">
        <v>197.05260000000001</v>
      </c>
      <c r="J383" s="41">
        <v>0</v>
      </c>
      <c r="K383" s="41">
        <v>70.972200000000001</v>
      </c>
      <c r="L383" s="41">
        <v>8.2800999999999991</v>
      </c>
      <c r="M383" s="41">
        <v>77.448899999999995</v>
      </c>
      <c r="N383" s="41">
        <v>0</v>
      </c>
      <c r="O383" s="42">
        <f>SUM(G383:N383)</f>
        <v>375.2038</v>
      </c>
      <c r="P383" s="42">
        <f>SUMPRODUCT(G383:N383,$G$2:$N$2)*1000/Assumptions!$C$15</f>
        <v>113.46399372521996</v>
      </c>
      <c r="Q383" s="43">
        <f>IF(ISNUMBER(Finder!$G$5),Finder!$D$8*Assumptions!$C$16*2*ASIN(SQRT(SIN(RADIANS(E383-Finder!$G$5)/2)^2+COS(RADIANS(Finder!$G$5))*COS(RADIANS(E383))*SIN(RADIANS(F383-Finder!$G$6)/2)^2)),"")</f>
        <v>922.32410583093144</v>
      </c>
      <c r="R383" s="39">
        <f>IF(ISNUMBER(Q383),IF(Q383&lt;=Finder!$D$7,1,0),0)</f>
        <v>0</v>
      </c>
      <c r="S383" s="39" t="str">
        <f>IF(R383=1,O383+ROW()*0.000000001,"")</f>
        <v/>
      </c>
      <c r="T383" s="39" t="str">
        <f>IF(O383&gt;0,INDEX(Calc!$B$4:$B$11,MATCH(MAX(G383:N383),G383:N383,0)),"-")</f>
        <v>Maize Stover</v>
      </c>
    </row>
    <row r="384" spans="1:20">
      <c r="A384" s="39">
        <v>381</v>
      </c>
      <c r="B384" s="39" t="s">
        <v>445</v>
      </c>
      <c r="C384" s="39" t="s">
        <v>456</v>
      </c>
      <c r="D384" s="39" t="str">
        <f>B384&amp;"|"&amp;C384</f>
        <v>Maharashtra|Gadchiroli</v>
      </c>
      <c r="E384" s="40">
        <v>20.18</v>
      </c>
      <c r="F384" s="40">
        <v>80</v>
      </c>
      <c r="G384" s="41">
        <v>84</v>
      </c>
      <c r="H384" s="41">
        <v>0</v>
      </c>
      <c r="I384" s="41">
        <v>15.824400000000001</v>
      </c>
      <c r="J384" s="41">
        <v>0</v>
      </c>
      <c r="K384" s="41">
        <v>0</v>
      </c>
      <c r="L384" s="41">
        <v>0</v>
      </c>
      <c r="M384" s="41">
        <v>4.4200000000000003E-2</v>
      </c>
      <c r="N384" s="41">
        <v>0</v>
      </c>
      <c r="O384" s="42">
        <f>SUM(G384:N384)</f>
        <v>99.868600000000001</v>
      </c>
      <c r="P384" s="42">
        <f>SUMPRODUCT(G384:N384,$G$2:$N$2)*1000/Assumptions!$C$15</f>
        <v>35.45976581583578</v>
      </c>
      <c r="Q384" s="43">
        <f>IF(ISNUMBER(Finder!$G$5),Finder!$D$8*Assumptions!$C$16*2*ASIN(SQRT(SIN(RADIANS(E384-Finder!$G$5)/2)^2+COS(RADIANS(Finder!$G$5))*COS(RADIANS(E384))*SIN(RADIANS(F384-Finder!$G$6)/2)^2)),"")</f>
        <v>1086.8553694476818</v>
      </c>
      <c r="R384" s="39">
        <f>IF(ISNUMBER(Q384),IF(Q384&lt;=Finder!$D$7,1,0),0)</f>
        <v>0</v>
      </c>
      <c r="S384" s="39" t="str">
        <f>IF(R384=1,O384+ROW()*0.000000001,"")</f>
        <v/>
      </c>
      <c r="T384" s="39" t="str">
        <f>IF(O384&gt;0,INDEX(Calc!$B$4:$B$11,MATCH(MAX(G384:N384),G384:N384,0)),"-")</f>
        <v>Paddy Straw</v>
      </c>
    </row>
    <row r="385" spans="1:20">
      <c r="A385" s="39">
        <v>382</v>
      </c>
      <c r="B385" s="39" t="s">
        <v>445</v>
      </c>
      <c r="C385" s="39" t="s">
        <v>457</v>
      </c>
      <c r="D385" s="39" t="str">
        <f>B385&amp;"|"&amp;C385</f>
        <v>Maharashtra|Gondia</v>
      </c>
      <c r="E385" s="40">
        <v>21.46</v>
      </c>
      <c r="F385" s="40">
        <v>80.19</v>
      </c>
      <c r="G385" s="41">
        <v>111.3</v>
      </c>
      <c r="H385" s="41">
        <v>0.45</v>
      </c>
      <c r="I385" s="41">
        <v>4.4149000000000003</v>
      </c>
      <c r="J385" s="41">
        <v>0</v>
      </c>
      <c r="K385" s="41">
        <v>19.0139</v>
      </c>
      <c r="L385" s="41">
        <v>2.2183000000000002</v>
      </c>
      <c r="M385" s="41">
        <v>3.2000000000000002E-3</v>
      </c>
      <c r="N385" s="41">
        <v>0</v>
      </c>
      <c r="O385" s="42">
        <f>SUM(G385:N385)</f>
        <v>137.40029999999999</v>
      </c>
      <c r="P385" s="42">
        <f>SUMPRODUCT(G385:N385,$G$2:$N$2)*1000/Assumptions!$C$15</f>
        <v>48.470857653079186</v>
      </c>
      <c r="Q385" s="43">
        <f>IF(ISNUMBER(Finder!$G$5),Finder!$D$8*Assumptions!$C$16*2*ASIN(SQRT(SIN(RADIANS(E385-Finder!$G$5)/2)^2+COS(RADIANS(Finder!$G$5))*COS(RADIANS(E385))*SIN(RADIANS(F385-Finder!$G$6)/2)^2)),"")</f>
        <v>965.69410672234324</v>
      </c>
      <c r="R385" s="39">
        <f>IF(ISNUMBER(Q385),IF(Q385&lt;=Finder!$D$7,1,0),0)</f>
        <v>0</v>
      </c>
      <c r="S385" s="39" t="str">
        <f>IF(R385=1,O385+ROW()*0.000000001,"")</f>
        <v/>
      </c>
      <c r="T385" s="39" t="str">
        <f>IF(O385&gt;0,INDEX(Calc!$B$4:$B$11,MATCH(MAX(G385:N385),G385:N385,0)),"-")</f>
        <v>Paddy Straw</v>
      </c>
    </row>
    <row r="386" spans="1:20">
      <c r="A386" s="39">
        <v>383</v>
      </c>
      <c r="B386" s="39" t="s">
        <v>445</v>
      </c>
      <c r="C386" s="39" t="s">
        <v>458</v>
      </c>
      <c r="D386" s="39" t="str">
        <f>B386&amp;"|"&amp;C386</f>
        <v>Maharashtra|Hingoli</v>
      </c>
      <c r="E386" s="40">
        <v>19.72</v>
      </c>
      <c r="F386" s="40">
        <v>77.150000000000006</v>
      </c>
      <c r="G386" s="41">
        <v>0</v>
      </c>
      <c r="H386" s="41">
        <v>18.45</v>
      </c>
      <c r="I386" s="41">
        <v>2.7244999999999999</v>
      </c>
      <c r="J386" s="41">
        <v>0</v>
      </c>
      <c r="K386" s="41">
        <v>216.6208</v>
      </c>
      <c r="L386" s="41">
        <v>25.272400000000001</v>
      </c>
      <c r="M386" s="41">
        <v>682.30060000000003</v>
      </c>
      <c r="N386" s="41">
        <v>0</v>
      </c>
      <c r="O386" s="42">
        <f>SUM(G386:N386)</f>
        <v>945.36830000000009</v>
      </c>
      <c r="P386" s="42">
        <f>SUMPRODUCT(G386:N386,$G$2:$N$2)*1000/Assumptions!$C$15</f>
        <v>293.76071921055717</v>
      </c>
      <c r="Q386" s="43">
        <f>IF(ISNUMBER(Finder!$G$5),Finder!$D$8*Assumptions!$C$16*2*ASIN(SQRT(SIN(RADIANS(E386-Finder!$G$5)/2)^2+COS(RADIANS(Finder!$G$5))*COS(RADIANS(E386))*SIN(RADIANS(F386-Finder!$G$6)/2)^2)),"")</f>
        <v>1058.4779848533947</v>
      </c>
      <c r="R386" s="39">
        <f>IF(ISNUMBER(Q386),IF(Q386&lt;=Finder!$D$7,1,0),0)</f>
        <v>0</v>
      </c>
      <c r="S386" s="39" t="str">
        <f>IF(R386=1,O386+ROW()*0.000000001,"")</f>
        <v/>
      </c>
      <c r="T386" s="39" t="str">
        <f>IF(O386&gt;0,INDEX(Calc!$B$4:$B$11,MATCH(MAX(G386:N386),G386:N386,0)),"-")</f>
        <v>Soya Trash</v>
      </c>
    </row>
    <row r="387" spans="1:20">
      <c r="A387" s="39">
        <v>384</v>
      </c>
      <c r="B387" s="39" t="s">
        <v>445</v>
      </c>
      <c r="C387" s="39" t="s">
        <v>459</v>
      </c>
      <c r="D387" s="39" t="str">
        <f>B387&amp;"|"&amp;C387</f>
        <v>Maharashtra|Jalgaon</v>
      </c>
      <c r="E387" s="40">
        <v>21</v>
      </c>
      <c r="F387" s="40">
        <v>75.56</v>
      </c>
      <c r="G387" s="41">
        <v>0</v>
      </c>
      <c r="H387" s="41">
        <v>25.2</v>
      </c>
      <c r="I387" s="41">
        <v>795.41510000000005</v>
      </c>
      <c r="J387" s="41">
        <v>0</v>
      </c>
      <c r="K387" s="41">
        <v>201.6</v>
      </c>
      <c r="L387" s="41">
        <v>23.52</v>
      </c>
      <c r="M387" s="41">
        <v>63.949399999999997</v>
      </c>
      <c r="N387" s="41">
        <v>0</v>
      </c>
      <c r="O387" s="42">
        <f>SUM(G387:N387)</f>
        <v>1109.6845000000001</v>
      </c>
      <c r="P387" s="42">
        <f>SUMPRODUCT(G387:N387,$G$2:$N$2)*1000/Assumptions!$C$15</f>
        <v>329.25695284809387</v>
      </c>
      <c r="Q387" s="43">
        <f>IF(ISNUMBER(Finder!$G$5),Finder!$D$8*Assumptions!$C$16*2*ASIN(SQRT(SIN(RADIANS(E387-Finder!$G$5)/2)^2+COS(RADIANS(Finder!$G$5))*COS(RADIANS(E387))*SIN(RADIANS(F387-Finder!$G$6)/2)^2)),"")</f>
        <v>906.38151108495117</v>
      </c>
      <c r="R387" s="39">
        <f>IF(ISNUMBER(Q387),IF(Q387&lt;=Finder!$D$7,1,0),0)</f>
        <v>0</v>
      </c>
      <c r="S387" s="39" t="str">
        <f>IF(R387=1,O387+ROW()*0.000000001,"")</f>
        <v/>
      </c>
      <c r="T387" s="39" t="str">
        <f>IF(O387&gt;0,INDEX(Calc!$B$4:$B$11,MATCH(MAX(G387:N387),G387:N387,0)),"-")</f>
        <v>Maize Stover</v>
      </c>
    </row>
    <row r="388" spans="1:20">
      <c r="A388" s="39">
        <v>385</v>
      </c>
      <c r="B388" s="39" t="s">
        <v>445</v>
      </c>
      <c r="C388" s="39" t="s">
        <v>460</v>
      </c>
      <c r="D388" s="39" t="str">
        <f>B388&amp;"|"&amp;C388</f>
        <v>Maharashtra|Jalna</v>
      </c>
      <c r="E388" s="40">
        <v>19.84</v>
      </c>
      <c r="F388" s="40">
        <v>75.88</v>
      </c>
      <c r="G388" s="41">
        <v>0</v>
      </c>
      <c r="H388" s="41">
        <v>26.1</v>
      </c>
      <c r="I388" s="41">
        <v>272.02609999999999</v>
      </c>
      <c r="J388" s="41">
        <v>0</v>
      </c>
      <c r="K388" s="41">
        <v>680.06880000000001</v>
      </c>
      <c r="L388" s="41">
        <v>79.341399999999993</v>
      </c>
      <c r="M388" s="41">
        <v>622.79160000000002</v>
      </c>
      <c r="N388" s="41">
        <v>0</v>
      </c>
      <c r="O388" s="42">
        <f>SUM(G388:N388)</f>
        <v>1680.3279</v>
      </c>
      <c r="P388" s="42">
        <f>SUMPRODUCT(G388:N388,$G$2:$N$2)*1000/Assumptions!$C$15</f>
        <v>508.32628747624631</v>
      </c>
      <c r="Q388" s="43">
        <f>IF(ISNUMBER(Finder!$G$5),Finder!$D$8*Assumptions!$C$16*2*ASIN(SQRT(SIN(RADIANS(E388-Finder!$G$5)/2)^2+COS(RADIANS(Finder!$G$5))*COS(RADIANS(E388))*SIN(RADIANS(F388-Finder!$G$6)/2)^2)),"")</f>
        <v>1035.3509044810285</v>
      </c>
      <c r="R388" s="39">
        <f>IF(ISNUMBER(Q388),IF(Q388&lt;=Finder!$D$7,1,0),0)</f>
        <v>0</v>
      </c>
      <c r="S388" s="39" t="str">
        <f>IF(R388=1,O388+ROW()*0.000000001,"")</f>
        <v/>
      </c>
      <c r="T388" s="39" t="str">
        <f>IF(O388&gt;0,INDEX(Calc!$B$4:$B$11,MATCH(MAX(G388:N388),G388:N388,0)),"-")</f>
        <v>Cane Trash</v>
      </c>
    </row>
    <row r="389" spans="1:20">
      <c r="A389" s="39">
        <v>386</v>
      </c>
      <c r="B389" s="39" t="s">
        <v>445</v>
      </c>
      <c r="C389" s="39" t="s">
        <v>461</v>
      </c>
      <c r="D389" s="39" t="str">
        <f>B389&amp;"|"&amp;C389</f>
        <v>Maharashtra|Kolhapur</v>
      </c>
      <c r="E389" s="40">
        <v>16.7</v>
      </c>
      <c r="F389" s="40">
        <v>74.239999999999995</v>
      </c>
      <c r="G389" s="41">
        <v>37.380000000000003</v>
      </c>
      <c r="H389" s="41">
        <v>0.45</v>
      </c>
      <c r="I389" s="41">
        <v>16.886099999999999</v>
      </c>
      <c r="J389" s="41">
        <v>0</v>
      </c>
      <c r="K389" s="41">
        <v>2847.2321000000002</v>
      </c>
      <c r="L389" s="41">
        <v>332.1771</v>
      </c>
      <c r="M389" s="41">
        <v>163.87020000000001</v>
      </c>
      <c r="N389" s="41">
        <v>0</v>
      </c>
      <c r="O389" s="42">
        <f>SUM(G389:N389)</f>
        <v>3397.9955</v>
      </c>
      <c r="P389" s="42">
        <f>SUMPRODUCT(G389:N389,$G$2:$N$2)*1000/Assumptions!$C$15</f>
        <v>1000.2918077539591</v>
      </c>
      <c r="Q389" s="43">
        <f>IF(ISNUMBER(Finder!$G$5),Finder!$D$8*Assumptions!$C$16*2*ASIN(SQRT(SIN(RADIANS(E389-Finder!$G$5)/2)^2+COS(RADIANS(Finder!$G$5))*COS(RADIANS(E389))*SIN(RADIANS(F389-Finder!$G$6)/2)^2)),"")</f>
        <v>1392.5995020592165</v>
      </c>
      <c r="R389" s="39">
        <f>IF(ISNUMBER(Q389),IF(Q389&lt;=Finder!$D$7,1,0),0)</f>
        <v>0</v>
      </c>
      <c r="S389" s="39" t="str">
        <f>IF(R389=1,O389+ROW()*0.000000001,"")</f>
        <v/>
      </c>
      <c r="T389" s="39" t="str">
        <f>IF(O389&gt;0,INDEX(Calc!$B$4:$B$11,MATCH(MAX(G389:N389),G389:N389,0)),"-")</f>
        <v>Cane Trash</v>
      </c>
    </row>
    <row r="390" spans="1:20">
      <c r="A390" s="39">
        <v>387</v>
      </c>
      <c r="B390" s="39" t="s">
        <v>445</v>
      </c>
      <c r="C390" s="39" t="s">
        <v>462</v>
      </c>
      <c r="D390" s="39" t="str">
        <f>B390&amp;"|"&amp;C390</f>
        <v>Maharashtra|Latur</v>
      </c>
      <c r="E390" s="40">
        <v>18.399999999999999</v>
      </c>
      <c r="F390" s="40">
        <v>76.569999999999993</v>
      </c>
      <c r="G390" s="41">
        <v>0</v>
      </c>
      <c r="H390" s="41">
        <v>5.85</v>
      </c>
      <c r="I390" s="41">
        <v>18.052399999999999</v>
      </c>
      <c r="J390" s="41">
        <v>0</v>
      </c>
      <c r="K390" s="41">
        <v>1005.4438</v>
      </c>
      <c r="L390" s="41">
        <v>117.3018</v>
      </c>
      <c r="M390" s="41">
        <v>935.35540000000003</v>
      </c>
      <c r="N390" s="41">
        <v>0</v>
      </c>
      <c r="O390" s="42">
        <f>SUM(G390:N390)</f>
        <v>2082.0034000000001</v>
      </c>
      <c r="P390" s="42">
        <f>SUMPRODUCT(G390:N390,$G$2:$N$2)*1000/Assumptions!$C$15</f>
        <v>631.13825425982407</v>
      </c>
      <c r="Q390" s="43">
        <f>IF(ISNUMBER(Finder!$G$5),Finder!$D$8*Assumptions!$C$16*2*ASIN(SQRT(SIN(RADIANS(E390-Finder!$G$5)/2)^2+COS(RADIANS(Finder!$G$5))*COS(RADIANS(E390))*SIN(RADIANS(F390-Finder!$G$6)/2)^2)),"")</f>
        <v>1198.4562170003246</v>
      </c>
      <c r="R390" s="39">
        <f>IF(ISNUMBER(Q390),IF(Q390&lt;=Finder!$D$7,1,0),0)</f>
        <v>0</v>
      </c>
      <c r="S390" s="39" t="str">
        <f>IF(R390=1,O390+ROW()*0.000000001,"")</f>
        <v/>
      </c>
      <c r="T390" s="39" t="str">
        <f>IF(O390&gt;0,INDEX(Calc!$B$4:$B$11,MATCH(MAX(G390:N390),G390:N390,0)),"-")</f>
        <v>Cane Trash</v>
      </c>
    </row>
    <row r="391" spans="1:20">
      <c r="A391" s="39">
        <v>388</v>
      </c>
      <c r="B391" s="39" t="s">
        <v>445</v>
      </c>
      <c r="C391" s="39" t="s">
        <v>463</v>
      </c>
      <c r="D391" s="39" t="str">
        <f>B391&amp;"|"&amp;C391</f>
        <v>Maharashtra|Nagpur</v>
      </c>
      <c r="E391" s="40">
        <v>21.15</v>
      </c>
      <c r="F391" s="40">
        <v>79.09</v>
      </c>
      <c r="G391" s="41">
        <v>41.58</v>
      </c>
      <c r="H391" s="41">
        <v>44.55</v>
      </c>
      <c r="I391" s="41">
        <v>1.4499</v>
      </c>
      <c r="J391" s="41">
        <v>0</v>
      </c>
      <c r="K391" s="41">
        <v>30.817799999999998</v>
      </c>
      <c r="L391" s="41">
        <v>3.5954000000000002</v>
      </c>
      <c r="M391" s="41">
        <v>175.56870000000001</v>
      </c>
      <c r="N391" s="41">
        <v>0</v>
      </c>
      <c r="O391" s="42">
        <f>SUM(G391:N391)</f>
        <v>297.56180000000001</v>
      </c>
      <c r="P391" s="42">
        <f>SUMPRODUCT(G391:N391,$G$2:$N$2)*1000/Assumptions!$C$15</f>
        <v>97.503451890322566</v>
      </c>
      <c r="Q391" s="43">
        <f>IF(ISNUMBER(Finder!$G$5),Finder!$D$8*Assumptions!$C$16*2*ASIN(SQRT(SIN(RADIANS(E391-Finder!$G$5)/2)^2+COS(RADIANS(Finder!$G$5))*COS(RADIANS(E391))*SIN(RADIANS(F391-Finder!$G$6)/2)^2)),"")</f>
        <v>951.87038468953415</v>
      </c>
      <c r="R391" s="39">
        <f>IF(ISNUMBER(Q391),IF(Q391&lt;=Finder!$D$7,1,0),0)</f>
        <v>0</v>
      </c>
      <c r="S391" s="39" t="str">
        <f>IF(R391=1,O391+ROW()*0.000000001,"")</f>
        <v/>
      </c>
      <c r="T391" s="39" t="str">
        <f>IF(O391&gt;0,INDEX(Calc!$B$4:$B$11,MATCH(MAX(G391:N391),G391:N391,0)),"-")</f>
        <v>Soya Trash</v>
      </c>
    </row>
    <row r="392" spans="1:20">
      <c r="A392" s="39">
        <v>389</v>
      </c>
      <c r="B392" s="39" t="s">
        <v>445</v>
      </c>
      <c r="C392" s="39" t="s">
        <v>464</v>
      </c>
      <c r="D392" s="39" t="str">
        <f>B392&amp;"|"&amp;C392</f>
        <v>Maharashtra|Nanded</v>
      </c>
      <c r="E392" s="40">
        <v>19.149999999999999</v>
      </c>
      <c r="F392" s="40">
        <v>77.31</v>
      </c>
      <c r="G392" s="41">
        <v>0.42</v>
      </c>
      <c r="H392" s="41">
        <v>18.45</v>
      </c>
      <c r="I392" s="41">
        <v>22.653199999999998</v>
      </c>
      <c r="J392" s="41">
        <v>0</v>
      </c>
      <c r="K392" s="41">
        <v>323.48700000000002</v>
      </c>
      <c r="L392" s="41">
        <v>37.740200000000002</v>
      </c>
      <c r="M392" s="41">
        <v>927.79740000000004</v>
      </c>
      <c r="N392" s="41">
        <v>0</v>
      </c>
      <c r="O392" s="42">
        <f>SUM(G392:N392)</f>
        <v>1330.5478000000001</v>
      </c>
      <c r="P392" s="42">
        <f>SUMPRODUCT(G392:N392,$G$2:$N$2)*1000/Assumptions!$C$15</f>
        <v>412.1976061214076</v>
      </c>
      <c r="Q392" s="43">
        <f>IF(ISNUMBER(Finder!$G$5),Finder!$D$8*Assumptions!$C$16*2*ASIN(SQRT(SIN(RADIANS(E392-Finder!$G$5)/2)^2+COS(RADIANS(Finder!$G$5))*COS(RADIANS(E392))*SIN(RADIANS(F392-Finder!$G$6)/2)^2)),"")</f>
        <v>1123.5439059294961</v>
      </c>
      <c r="R392" s="39">
        <f>IF(ISNUMBER(Q392),IF(Q392&lt;=Finder!$D$7,1,0),0)</f>
        <v>0</v>
      </c>
      <c r="S392" s="39" t="str">
        <f>IF(R392=1,O392+ROW()*0.000000001,"")</f>
        <v/>
      </c>
      <c r="T392" s="39" t="str">
        <f>IF(O392&gt;0,INDEX(Calc!$B$4:$B$11,MATCH(MAX(G392:N392),G392:N392,0)),"-")</f>
        <v>Soya Trash</v>
      </c>
    </row>
    <row r="393" spans="1:20">
      <c r="A393" s="39">
        <v>390</v>
      </c>
      <c r="B393" s="39" t="s">
        <v>445</v>
      </c>
      <c r="C393" s="39" t="s">
        <v>465</v>
      </c>
      <c r="D393" s="39" t="str">
        <f>B393&amp;"|"&amp;C393</f>
        <v>Maharashtra|Nandurbar</v>
      </c>
      <c r="E393" s="40">
        <v>21.37</v>
      </c>
      <c r="F393" s="40">
        <v>74.239999999999995</v>
      </c>
      <c r="G393" s="41">
        <v>10.08</v>
      </c>
      <c r="H393" s="41">
        <v>13.05</v>
      </c>
      <c r="I393" s="41">
        <v>162.03540000000001</v>
      </c>
      <c r="J393" s="41">
        <v>0</v>
      </c>
      <c r="K393" s="41">
        <v>370.09289999999999</v>
      </c>
      <c r="L393" s="41">
        <v>43.177500000000002</v>
      </c>
      <c r="M393" s="41">
        <v>83.085599999999999</v>
      </c>
      <c r="N393" s="41">
        <v>0</v>
      </c>
      <c r="O393" s="42">
        <f>SUM(G393:N393)</f>
        <v>681.52139999999997</v>
      </c>
      <c r="P393" s="42">
        <f>SUMPRODUCT(G393:N393,$G$2:$N$2)*1000/Assumptions!$C$15</f>
        <v>203.23052020205279</v>
      </c>
      <c r="Q393" s="43">
        <f>IF(ISNUMBER(Finder!$G$5),Finder!$D$8*Assumptions!$C$16*2*ASIN(SQRT(SIN(RADIANS(E393-Finder!$G$5)/2)^2+COS(RADIANS(Finder!$G$5))*COS(RADIANS(E393))*SIN(RADIANS(F393-Finder!$G$6)/2)^2)),"")</f>
        <v>877.77337565754101</v>
      </c>
      <c r="R393" s="39">
        <f>IF(ISNUMBER(Q393),IF(Q393&lt;=Finder!$D$7,1,0),0)</f>
        <v>0</v>
      </c>
      <c r="S393" s="39" t="str">
        <f>IF(R393=1,O393+ROW()*0.000000001,"")</f>
        <v/>
      </c>
      <c r="T393" s="39" t="str">
        <f>IF(O393&gt;0,INDEX(Calc!$B$4:$B$11,MATCH(MAX(G393:N393),G393:N393,0)),"-")</f>
        <v>Cane Trash</v>
      </c>
    </row>
    <row r="394" spans="1:20">
      <c r="A394" s="39">
        <v>391</v>
      </c>
      <c r="B394" s="39" t="s">
        <v>445</v>
      </c>
      <c r="C394" s="39" t="s">
        <v>466</v>
      </c>
      <c r="D394" s="39" t="str">
        <f>B394&amp;"|"&amp;C394</f>
        <v>Maharashtra|Nashik</v>
      </c>
      <c r="E394" s="40">
        <v>20</v>
      </c>
      <c r="F394" s="40">
        <v>73.790000000000006</v>
      </c>
      <c r="G394" s="41">
        <v>39.479999999999997</v>
      </c>
      <c r="H394" s="41">
        <v>18</v>
      </c>
      <c r="I394" s="41">
        <v>1032.8005000000001</v>
      </c>
      <c r="J394" s="41">
        <v>0</v>
      </c>
      <c r="K394" s="41">
        <v>510.49520000000001</v>
      </c>
      <c r="L394" s="41">
        <v>59.5578</v>
      </c>
      <c r="M394" s="41">
        <v>312.34100000000001</v>
      </c>
      <c r="N394" s="41">
        <v>0</v>
      </c>
      <c r="O394" s="42">
        <f>SUM(G394:N394)</f>
        <v>1972.6745000000001</v>
      </c>
      <c r="P394" s="42">
        <f>SUMPRODUCT(G394:N394,$G$2:$N$2)*1000/Assumptions!$C$15</f>
        <v>590.2269044697947</v>
      </c>
      <c r="Q394" s="43">
        <f>IF(ISNUMBER(Finder!$G$5),Finder!$D$8*Assumptions!$C$16*2*ASIN(SQRT(SIN(RADIANS(E394-Finder!$G$5)/2)^2+COS(RADIANS(Finder!$G$5))*COS(RADIANS(E394))*SIN(RADIANS(F394-Finder!$G$6)/2)^2)),"")</f>
        <v>1035.9192098816939</v>
      </c>
      <c r="R394" s="39">
        <f>IF(ISNUMBER(Q394),IF(Q394&lt;=Finder!$D$7,1,0),0)</f>
        <v>0</v>
      </c>
      <c r="S394" s="39" t="str">
        <f>IF(R394=1,O394+ROW()*0.000000001,"")</f>
        <v/>
      </c>
      <c r="T394" s="39" t="str">
        <f>IF(O394&gt;0,INDEX(Calc!$B$4:$B$11,MATCH(MAX(G394:N394),G394:N394,0)),"-")</f>
        <v>Maize Stover</v>
      </c>
    </row>
    <row r="395" spans="1:20">
      <c r="A395" s="39">
        <v>392</v>
      </c>
      <c r="B395" s="39" t="s">
        <v>445</v>
      </c>
      <c r="C395" s="39" t="s">
        <v>467</v>
      </c>
      <c r="D395" s="39" t="str">
        <f>B395&amp;"|"&amp;C395</f>
        <v>Maharashtra|Palghar</v>
      </c>
      <c r="E395" s="40">
        <v>19.7</v>
      </c>
      <c r="F395" s="40">
        <v>72.77</v>
      </c>
      <c r="G395" s="41">
        <v>33.6</v>
      </c>
      <c r="H395" s="41">
        <v>0</v>
      </c>
      <c r="I395" s="41">
        <v>1.7500000000000002E-2</v>
      </c>
      <c r="J395" s="41">
        <v>0</v>
      </c>
      <c r="K395" s="41">
        <v>0</v>
      </c>
      <c r="L395" s="41">
        <v>0</v>
      </c>
      <c r="M395" s="41">
        <v>0</v>
      </c>
      <c r="N395" s="41">
        <v>0</v>
      </c>
      <c r="O395" s="42">
        <f>SUM(G395:N395)</f>
        <v>33.6175</v>
      </c>
      <c r="P395" s="42">
        <f>SUMPRODUCT(G395:N395,$G$2:$N$2)*1000/Assumptions!$C$15</f>
        <v>12.321371055718474</v>
      </c>
      <c r="Q395" s="43">
        <f>IF(ISNUMBER(Finder!$G$5),Finder!$D$8*Assumptions!$C$16*2*ASIN(SQRT(SIN(RADIANS(E395-Finder!$G$5)/2)^2+COS(RADIANS(Finder!$G$5))*COS(RADIANS(E395))*SIN(RADIANS(F395-Finder!$G$6)/2)^2)),"")</f>
        <v>1092.2615764916441</v>
      </c>
      <c r="R395" s="39">
        <f>IF(ISNUMBER(Q395),IF(Q395&lt;=Finder!$D$7,1,0),0)</f>
        <v>0</v>
      </c>
      <c r="S395" s="39" t="str">
        <f>IF(R395=1,O395+ROW()*0.000000001,"")</f>
        <v/>
      </c>
      <c r="T395" s="39" t="str">
        <f>IF(O395&gt;0,INDEX(Calc!$B$4:$B$11,MATCH(MAX(G395:N395),G395:N395,0)),"-")</f>
        <v>Paddy Straw</v>
      </c>
    </row>
    <row r="396" spans="1:20">
      <c r="A396" s="39">
        <v>393</v>
      </c>
      <c r="B396" s="39" t="s">
        <v>445</v>
      </c>
      <c r="C396" s="39" t="s">
        <v>468</v>
      </c>
      <c r="D396" s="39" t="str">
        <f>B396&amp;"|"&amp;C396</f>
        <v>Maharashtra|Parbhani</v>
      </c>
      <c r="E396" s="40">
        <v>19.27</v>
      </c>
      <c r="F396" s="40">
        <v>76.77</v>
      </c>
      <c r="G396" s="41">
        <v>0</v>
      </c>
      <c r="H396" s="41">
        <v>13.95</v>
      </c>
      <c r="I396" s="41">
        <v>4.7069999999999999</v>
      </c>
      <c r="J396" s="41">
        <v>0</v>
      </c>
      <c r="K396" s="41">
        <v>762.33960000000002</v>
      </c>
      <c r="L396" s="41">
        <v>88.939599999999999</v>
      </c>
      <c r="M396" s="41">
        <v>722.29280000000006</v>
      </c>
      <c r="N396" s="41">
        <v>0</v>
      </c>
      <c r="O396" s="42">
        <f>SUM(G396:N396)</f>
        <v>1592.2290000000003</v>
      </c>
      <c r="P396" s="42">
        <f>SUMPRODUCT(G396:N396,$G$2:$N$2)*1000/Assumptions!$C$15</f>
        <v>483.51755095131972</v>
      </c>
      <c r="Q396" s="43">
        <f>IF(ISNUMBER(Finder!$G$5),Finder!$D$8*Assumptions!$C$16*2*ASIN(SQRT(SIN(RADIANS(E396-Finder!$G$5)/2)^2+COS(RADIANS(Finder!$G$5))*COS(RADIANS(E396))*SIN(RADIANS(F396-Finder!$G$6)/2)^2)),"")</f>
        <v>1103.7340593376427</v>
      </c>
      <c r="R396" s="39">
        <f>IF(ISNUMBER(Q396),IF(Q396&lt;=Finder!$D$7,1,0),0)</f>
        <v>0</v>
      </c>
      <c r="S396" s="39" t="str">
        <f>IF(R396=1,O396+ROW()*0.000000001,"")</f>
        <v/>
      </c>
      <c r="T396" s="39" t="str">
        <f>IF(O396&gt;0,INDEX(Calc!$B$4:$B$11,MATCH(MAX(G396:N396),G396:N396,0)),"-")</f>
        <v>Cane Trash</v>
      </c>
    </row>
    <row r="397" spans="1:20">
      <c r="A397" s="39">
        <v>394</v>
      </c>
      <c r="B397" s="39" t="s">
        <v>445</v>
      </c>
      <c r="C397" s="39" t="s">
        <v>469</v>
      </c>
      <c r="D397" s="39" t="str">
        <f>B397&amp;"|"&amp;C397</f>
        <v>Maharashtra|Pune</v>
      </c>
      <c r="E397" s="40">
        <v>18.52</v>
      </c>
      <c r="F397" s="40">
        <v>73.86</v>
      </c>
      <c r="G397" s="41">
        <v>25.62</v>
      </c>
      <c r="H397" s="41">
        <v>18.899999999999999</v>
      </c>
      <c r="I397" s="41">
        <v>198.49930000000001</v>
      </c>
      <c r="J397" s="41">
        <v>0</v>
      </c>
      <c r="K397" s="41">
        <v>3034.7982000000002</v>
      </c>
      <c r="L397" s="41">
        <v>354.0598</v>
      </c>
      <c r="M397" s="41">
        <v>202.7945</v>
      </c>
      <c r="N397" s="41">
        <v>0</v>
      </c>
      <c r="O397" s="42">
        <f>SUM(G397:N397)</f>
        <v>3834.6718000000001</v>
      </c>
      <c r="P397" s="42">
        <f>SUMPRODUCT(G397:N397,$G$2:$N$2)*1000/Assumptions!$C$15</f>
        <v>1129.7093321906161</v>
      </c>
      <c r="Q397" s="43">
        <f>IF(ISNUMBER(Finder!$G$5),Finder!$D$8*Assumptions!$C$16*2*ASIN(SQRT(SIN(RADIANS(E397-Finder!$G$5)/2)^2+COS(RADIANS(Finder!$G$5))*COS(RADIANS(E397))*SIN(RADIANS(F397-Finder!$G$6)/2)^2)),"")</f>
        <v>1196.9777315102733</v>
      </c>
      <c r="R397" s="39">
        <f>IF(ISNUMBER(Q397),IF(Q397&lt;=Finder!$D$7,1,0),0)</f>
        <v>0</v>
      </c>
      <c r="S397" s="39" t="str">
        <f>IF(R397=1,O397+ROW()*0.000000001,"")</f>
        <v/>
      </c>
      <c r="T397" s="39" t="str">
        <f>IF(O397&gt;0,INDEX(Calc!$B$4:$B$11,MATCH(MAX(G397:N397),G397:N397,0)),"-")</f>
        <v>Cane Trash</v>
      </c>
    </row>
    <row r="398" spans="1:20">
      <c r="A398" s="39">
        <v>395</v>
      </c>
      <c r="B398" s="39" t="s">
        <v>445</v>
      </c>
      <c r="C398" s="39" t="s">
        <v>470</v>
      </c>
      <c r="D398" s="39" t="str">
        <f>B398&amp;"|"&amp;C398</f>
        <v>Maharashtra|Raigad</v>
      </c>
      <c r="E398" s="40">
        <v>18.64</v>
      </c>
      <c r="F398" s="40">
        <v>72.87</v>
      </c>
      <c r="G398" s="41">
        <v>33.6</v>
      </c>
      <c r="H398" s="41">
        <v>0</v>
      </c>
      <c r="I398" s="41">
        <v>0</v>
      </c>
      <c r="J398" s="41">
        <v>0</v>
      </c>
      <c r="K398" s="41">
        <v>0</v>
      </c>
      <c r="L398" s="41">
        <v>0</v>
      </c>
      <c r="M398" s="41">
        <v>0</v>
      </c>
      <c r="N398" s="41">
        <v>0</v>
      </c>
      <c r="O398" s="42">
        <f>SUM(G398:N398)</f>
        <v>33.6</v>
      </c>
      <c r="P398" s="42">
        <f>SUMPRODUCT(G398:N398,$G$2:$N$2)*1000/Assumptions!$C$15</f>
        <v>12.316222873900292</v>
      </c>
      <c r="Q398" s="43">
        <f>IF(ISNUMBER(Finder!$G$5),Finder!$D$8*Assumptions!$C$16*2*ASIN(SQRT(SIN(RADIANS(E398-Finder!$G$5)/2)^2+COS(RADIANS(Finder!$G$5))*COS(RADIANS(E398))*SIN(RADIANS(F398-Finder!$G$6)/2)^2)),"")</f>
        <v>1203.8840979094625</v>
      </c>
      <c r="R398" s="39">
        <f>IF(ISNUMBER(Q398),IF(Q398&lt;=Finder!$D$7,1,0),0)</f>
        <v>0</v>
      </c>
      <c r="S398" s="39" t="str">
        <f>IF(R398=1,O398+ROW()*0.000000001,"")</f>
        <v/>
      </c>
      <c r="T398" s="39" t="str">
        <f>IF(O398&gt;0,INDEX(Calc!$B$4:$B$11,MATCH(MAX(G398:N398),G398:N398,0)),"-")</f>
        <v>Paddy Straw</v>
      </c>
    </row>
    <row r="399" spans="1:20">
      <c r="A399" s="39">
        <v>396</v>
      </c>
      <c r="B399" s="39" t="s">
        <v>445</v>
      </c>
      <c r="C399" s="39" t="s">
        <v>471</v>
      </c>
      <c r="D399" s="39" t="str">
        <f>B399&amp;"|"&amp;C399</f>
        <v>Maharashtra|Ratnagiri</v>
      </c>
      <c r="E399" s="40">
        <v>16.989999999999998</v>
      </c>
      <c r="F399" s="40">
        <v>73.3</v>
      </c>
      <c r="G399" s="41">
        <v>17.22</v>
      </c>
      <c r="H399" s="41">
        <v>0</v>
      </c>
      <c r="I399" s="41">
        <v>4.9799999999999997E-2</v>
      </c>
      <c r="J399" s="41">
        <v>0</v>
      </c>
      <c r="K399" s="41">
        <v>0.27429999999999999</v>
      </c>
      <c r="L399" s="41">
        <v>3.2000000000000001E-2</v>
      </c>
      <c r="M399" s="41">
        <v>0</v>
      </c>
      <c r="N399" s="41">
        <v>0</v>
      </c>
      <c r="O399" s="42">
        <f>SUM(G399:N399)</f>
        <v>17.5761</v>
      </c>
      <c r="P399" s="42">
        <f>SUMPRODUCT(G399:N399,$G$2:$N$2)*1000/Assumptions!$C$15</f>
        <v>6.4162816891495602</v>
      </c>
      <c r="Q399" s="43">
        <f>IF(ISNUMBER(Finder!$G$5),Finder!$D$8*Assumptions!$C$16*2*ASIN(SQRT(SIN(RADIANS(E399-Finder!$G$5)/2)^2+COS(RADIANS(Finder!$G$5))*COS(RADIANS(E399))*SIN(RADIANS(F399-Finder!$G$6)/2)^2)),"")</f>
        <v>1374.4783533046782</v>
      </c>
      <c r="R399" s="39">
        <f>IF(ISNUMBER(Q399),IF(Q399&lt;=Finder!$D$7,1,0),0)</f>
        <v>0</v>
      </c>
      <c r="S399" s="39" t="str">
        <f>IF(R399=1,O399+ROW()*0.000000001,"")</f>
        <v/>
      </c>
      <c r="T399" s="39" t="str">
        <f>IF(O399&gt;0,INDEX(Calc!$B$4:$B$11,MATCH(MAX(G399:N399),G399:N399,0)),"-")</f>
        <v>Paddy Straw</v>
      </c>
    </row>
    <row r="400" spans="1:20">
      <c r="A400" s="39">
        <v>397</v>
      </c>
      <c r="B400" s="39" t="s">
        <v>445</v>
      </c>
      <c r="C400" s="39" t="s">
        <v>472</v>
      </c>
      <c r="D400" s="39" t="str">
        <f>B400&amp;"|"&amp;C400</f>
        <v>Maharashtra|Sangli</v>
      </c>
      <c r="E400" s="40">
        <v>16.850000000000001</v>
      </c>
      <c r="F400" s="40">
        <v>74.58</v>
      </c>
      <c r="G400" s="41">
        <v>5.04</v>
      </c>
      <c r="H400" s="41">
        <v>7.2</v>
      </c>
      <c r="I400" s="41">
        <v>215.5138</v>
      </c>
      <c r="J400" s="41">
        <v>0</v>
      </c>
      <c r="K400" s="41">
        <v>2560.732</v>
      </c>
      <c r="L400" s="41">
        <v>298.75209999999998</v>
      </c>
      <c r="M400" s="41">
        <v>116.5761</v>
      </c>
      <c r="N400" s="41">
        <v>0</v>
      </c>
      <c r="O400" s="42">
        <f>SUM(G400:N400)</f>
        <v>3203.8140000000003</v>
      </c>
      <c r="P400" s="42">
        <f>SUMPRODUCT(G400:N400,$G$2:$N$2)*1000/Assumptions!$C$15</f>
        <v>940.85827549999999</v>
      </c>
      <c r="Q400" s="43">
        <f>IF(ISNUMBER(Finder!$G$5),Finder!$D$8*Assumptions!$C$16*2*ASIN(SQRT(SIN(RADIANS(E400-Finder!$G$5)/2)^2+COS(RADIANS(Finder!$G$5))*COS(RADIANS(E400))*SIN(RADIANS(F400-Finder!$G$6)/2)^2)),"")</f>
        <v>1372.6366563660895</v>
      </c>
      <c r="R400" s="39">
        <f>IF(ISNUMBER(Q400),IF(Q400&lt;=Finder!$D$7,1,0),0)</f>
        <v>0</v>
      </c>
      <c r="S400" s="39" t="str">
        <f>IF(R400=1,O400+ROW()*0.000000001,"")</f>
        <v/>
      </c>
      <c r="T400" s="39" t="str">
        <f>IF(O400&gt;0,INDEX(Calc!$B$4:$B$11,MATCH(MAX(G400:N400),G400:N400,0)),"-")</f>
        <v>Cane Trash</v>
      </c>
    </row>
    <row r="401" spans="1:20">
      <c r="A401" s="39">
        <v>398</v>
      </c>
      <c r="B401" s="39" t="s">
        <v>445</v>
      </c>
      <c r="C401" s="39" t="s">
        <v>473</v>
      </c>
      <c r="D401" s="39" t="str">
        <f>B401&amp;"|"&amp;C401</f>
        <v>Maharashtra|Satara</v>
      </c>
      <c r="E401" s="40">
        <v>17.68</v>
      </c>
      <c r="F401" s="40">
        <v>74</v>
      </c>
      <c r="G401" s="41">
        <v>18.48</v>
      </c>
      <c r="H401" s="41">
        <v>17.55</v>
      </c>
      <c r="I401" s="41">
        <v>93.048699999999997</v>
      </c>
      <c r="J401" s="41">
        <v>0</v>
      </c>
      <c r="K401" s="41">
        <v>2294.4803000000002</v>
      </c>
      <c r="L401" s="41">
        <v>267.68939999999998</v>
      </c>
      <c r="M401" s="41">
        <v>322.53129999999999</v>
      </c>
      <c r="N401" s="41">
        <v>0</v>
      </c>
      <c r="O401" s="42">
        <f>SUM(G401:N401)</f>
        <v>3013.7797000000005</v>
      </c>
      <c r="P401" s="42">
        <f>SUMPRODUCT(G401:N401,$G$2:$N$2)*1000/Assumptions!$C$15</f>
        <v>891.65056080879765</v>
      </c>
      <c r="Q401" s="43">
        <f>IF(ISNUMBER(Finder!$G$5),Finder!$D$8*Assumptions!$C$16*2*ASIN(SQRT(SIN(RADIANS(E401-Finder!$G$5)/2)^2+COS(RADIANS(Finder!$G$5))*COS(RADIANS(E401))*SIN(RADIANS(F401-Finder!$G$6)/2)^2)),"")</f>
        <v>1287.36195050682</v>
      </c>
      <c r="R401" s="39">
        <f>IF(ISNUMBER(Q401),IF(Q401&lt;=Finder!$D$7,1,0),0)</f>
        <v>0</v>
      </c>
      <c r="S401" s="39" t="str">
        <f>IF(R401=1,O401+ROW()*0.000000001,"")</f>
        <v/>
      </c>
      <c r="T401" s="39" t="str">
        <f>IF(O401&gt;0,INDEX(Calc!$B$4:$B$11,MATCH(MAX(G401:N401),G401:N401,0)),"-")</f>
        <v>Cane Trash</v>
      </c>
    </row>
    <row r="402" spans="1:20">
      <c r="A402" s="39">
        <v>399</v>
      </c>
      <c r="B402" s="39" t="s">
        <v>445</v>
      </c>
      <c r="C402" s="39" t="s">
        <v>474</v>
      </c>
      <c r="D402" s="39" t="str">
        <f>B402&amp;"|"&amp;C402</f>
        <v>Maharashtra|Sindhudurg</v>
      </c>
      <c r="E402" s="40">
        <v>16.12</v>
      </c>
      <c r="F402" s="40">
        <v>73.69</v>
      </c>
      <c r="G402" s="41">
        <v>24.36</v>
      </c>
      <c r="H402" s="41">
        <v>0</v>
      </c>
      <c r="I402" s="41">
        <v>1.5644</v>
      </c>
      <c r="J402" s="41">
        <v>0</v>
      </c>
      <c r="K402" s="41">
        <v>17.8429</v>
      </c>
      <c r="L402" s="41">
        <v>2.0817000000000001</v>
      </c>
      <c r="M402" s="41">
        <v>0</v>
      </c>
      <c r="N402" s="41">
        <v>0</v>
      </c>
      <c r="O402" s="42">
        <f>SUM(G402:N402)</f>
        <v>45.848999999999997</v>
      </c>
      <c r="P402" s="42">
        <f>SUMPRODUCT(G402:N402,$G$2:$N$2)*1000/Assumptions!$C$15</f>
        <v>15.215740120527862</v>
      </c>
      <c r="Q402" s="43">
        <f>IF(ISNUMBER(Finder!$G$5),Finder!$D$8*Assumptions!$C$16*2*ASIN(SQRT(SIN(RADIANS(E402-Finder!$G$5)/2)^2+COS(RADIANS(Finder!$G$5))*COS(RADIANS(E402))*SIN(RADIANS(F402-Finder!$G$6)/2)^2)),"")</f>
        <v>1463.6745879041478</v>
      </c>
      <c r="R402" s="39">
        <f>IF(ISNUMBER(Q402),IF(Q402&lt;=Finder!$D$7,1,0),0)</f>
        <v>0</v>
      </c>
      <c r="S402" s="39" t="str">
        <f>IF(R402=1,O402+ROW()*0.000000001,"")</f>
        <v/>
      </c>
      <c r="T402" s="39" t="str">
        <f>IF(O402&gt;0,INDEX(Calc!$B$4:$B$11,MATCH(MAX(G402:N402),G402:N402,0)),"-")</f>
        <v>Paddy Straw</v>
      </c>
    </row>
    <row r="403" spans="1:20">
      <c r="A403" s="39">
        <v>400</v>
      </c>
      <c r="B403" s="39" t="s">
        <v>445</v>
      </c>
      <c r="C403" s="39" t="s">
        <v>475</v>
      </c>
      <c r="D403" s="39" t="str">
        <f>B403&amp;"|"&amp;C403</f>
        <v>Maharashtra|Solapur</v>
      </c>
      <c r="E403" s="40">
        <v>17.66</v>
      </c>
      <c r="F403" s="40">
        <v>75.91</v>
      </c>
      <c r="G403" s="41">
        <v>0</v>
      </c>
      <c r="H403" s="41">
        <v>19.350000000000001</v>
      </c>
      <c r="I403" s="41">
        <v>290.4855</v>
      </c>
      <c r="J403" s="41">
        <v>0</v>
      </c>
      <c r="K403" s="41">
        <v>3610.4506999999999</v>
      </c>
      <c r="L403" s="41">
        <v>421.2192</v>
      </c>
      <c r="M403" s="41">
        <v>141.6551</v>
      </c>
      <c r="N403" s="41">
        <v>0</v>
      </c>
      <c r="O403" s="42">
        <f>SUM(G403:N403)</f>
        <v>4483.1605</v>
      </c>
      <c r="P403" s="42">
        <f>SUMPRODUCT(G403:N403,$G$2:$N$2)*1000/Assumptions!$C$15</f>
        <v>1316.2049758557187</v>
      </c>
      <c r="Q403" s="43">
        <f>IF(ISNUMBER(Finder!$G$5),Finder!$D$8*Assumptions!$C$16*2*ASIN(SQRT(SIN(RADIANS(E403-Finder!$G$5)/2)^2+COS(RADIANS(Finder!$G$5))*COS(RADIANS(E403))*SIN(RADIANS(F403-Finder!$G$6)/2)^2)),"")</f>
        <v>1277.7760442160495</v>
      </c>
      <c r="R403" s="39">
        <f>IF(ISNUMBER(Q403),IF(Q403&lt;=Finder!$D$7,1,0),0)</f>
        <v>0</v>
      </c>
      <c r="S403" s="39" t="str">
        <f>IF(R403=1,O403+ROW()*0.000000001,"")</f>
        <v/>
      </c>
      <c r="T403" s="39" t="str">
        <f>IF(O403&gt;0,INDEX(Calc!$B$4:$B$11,MATCH(MAX(G403:N403),G403:N403,0)),"-")</f>
        <v>Cane Trash</v>
      </c>
    </row>
    <row r="404" spans="1:20">
      <c r="A404" s="39">
        <v>401</v>
      </c>
      <c r="B404" s="39" t="s">
        <v>445</v>
      </c>
      <c r="C404" s="39" t="s">
        <v>476</v>
      </c>
      <c r="D404" s="39" t="str">
        <f>B404&amp;"|"&amp;C404</f>
        <v>Maharashtra|Thane</v>
      </c>
      <c r="E404" s="40">
        <v>19.22</v>
      </c>
      <c r="F404" s="40">
        <v>72.98</v>
      </c>
      <c r="G404" s="41">
        <v>23.1</v>
      </c>
      <c r="H404" s="41">
        <v>0</v>
      </c>
      <c r="I404" s="41">
        <v>0.48309999999999997</v>
      </c>
      <c r="J404" s="41">
        <v>0</v>
      </c>
      <c r="K404" s="41">
        <v>0.1588</v>
      </c>
      <c r="L404" s="41">
        <v>1.8499999999999999E-2</v>
      </c>
      <c r="M404" s="41">
        <v>0</v>
      </c>
      <c r="N404" s="41">
        <v>0</v>
      </c>
      <c r="O404" s="42">
        <f>SUM(G404:N404)</f>
        <v>23.760400000000001</v>
      </c>
      <c r="P404" s="42">
        <f>SUMPRODUCT(G404:N404,$G$2:$N$2)*1000/Assumptions!$C$15</f>
        <v>8.661372393841642</v>
      </c>
      <c r="Q404" s="43">
        <f>IF(ISNUMBER(Finder!$G$5),Finder!$D$8*Assumptions!$C$16*2*ASIN(SQRT(SIN(RADIANS(E404-Finder!$G$5)/2)^2+COS(RADIANS(Finder!$G$5))*COS(RADIANS(E404))*SIN(RADIANS(F404-Finder!$G$6)/2)^2)),"")</f>
        <v>1138.470345787832</v>
      </c>
      <c r="R404" s="39">
        <f>IF(ISNUMBER(Q404),IF(Q404&lt;=Finder!$D$7,1,0),0)</f>
        <v>0</v>
      </c>
      <c r="S404" s="39" t="str">
        <f>IF(R404=1,O404+ROW()*0.000000001,"")</f>
        <v/>
      </c>
      <c r="T404" s="39" t="str">
        <f>IF(O404&gt;0,INDEX(Calc!$B$4:$B$11,MATCH(MAX(G404:N404),G404:N404,0)),"-")</f>
        <v>Paddy Straw</v>
      </c>
    </row>
    <row r="405" spans="1:20">
      <c r="A405" s="39">
        <v>402</v>
      </c>
      <c r="B405" s="39" t="s">
        <v>445</v>
      </c>
      <c r="C405" s="39" t="s">
        <v>477</v>
      </c>
      <c r="D405" s="39" t="str">
        <f>B405&amp;"|"&amp;C405</f>
        <v>Maharashtra|Wardha</v>
      </c>
      <c r="E405" s="40">
        <v>20.74</v>
      </c>
      <c r="F405" s="40">
        <v>78.599999999999994</v>
      </c>
      <c r="G405" s="41">
        <v>0</v>
      </c>
      <c r="H405" s="41">
        <v>13.95</v>
      </c>
      <c r="I405" s="41">
        <v>2.8899999999999999E-2</v>
      </c>
      <c r="J405" s="41">
        <v>0</v>
      </c>
      <c r="K405" s="41">
        <v>16.056000000000001</v>
      </c>
      <c r="L405" s="41">
        <v>1.8732</v>
      </c>
      <c r="M405" s="41">
        <v>289.26679999999999</v>
      </c>
      <c r="N405" s="41">
        <v>0</v>
      </c>
      <c r="O405" s="42">
        <f>SUM(G405:N405)</f>
        <v>321.17489999999998</v>
      </c>
      <c r="P405" s="42">
        <f>SUMPRODUCT(G405:N405,$G$2:$N$2)*1000/Assumptions!$C$15</f>
        <v>101.71194478944282</v>
      </c>
      <c r="Q405" s="43">
        <f>IF(ISNUMBER(Finder!$G$5),Finder!$D$8*Assumptions!$C$16*2*ASIN(SQRT(SIN(RADIANS(E405-Finder!$G$5)/2)^2+COS(RADIANS(Finder!$G$5))*COS(RADIANS(E405))*SIN(RADIANS(F405-Finder!$G$6)/2)^2)),"")</f>
        <v>979.06295233131891</v>
      </c>
      <c r="R405" s="39">
        <f>IF(ISNUMBER(Q405),IF(Q405&lt;=Finder!$D$7,1,0),0)</f>
        <v>0</v>
      </c>
      <c r="S405" s="39" t="str">
        <f>IF(R405=1,O405+ROW()*0.000000001,"")</f>
        <v/>
      </c>
      <c r="T405" s="39" t="str">
        <f>IF(O405&gt;0,INDEX(Calc!$B$4:$B$11,MATCH(MAX(G405:N405),G405:N405,0)),"-")</f>
        <v>Soya Trash</v>
      </c>
    </row>
    <row r="406" spans="1:20">
      <c r="A406" s="39">
        <v>403</v>
      </c>
      <c r="B406" s="39" t="s">
        <v>445</v>
      </c>
      <c r="C406" s="39" t="s">
        <v>478</v>
      </c>
      <c r="D406" s="39" t="str">
        <f>B406&amp;"|"&amp;C406</f>
        <v>Maharashtra|Washim</v>
      </c>
      <c r="E406" s="40">
        <v>20.11</v>
      </c>
      <c r="F406" s="40">
        <v>77.13</v>
      </c>
      <c r="G406" s="41">
        <v>0</v>
      </c>
      <c r="H406" s="41">
        <v>17.55</v>
      </c>
      <c r="I406" s="41">
        <v>2.0501999999999998</v>
      </c>
      <c r="J406" s="41">
        <v>0</v>
      </c>
      <c r="K406" s="41">
        <v>1.0529999999999999</v>
      </c>
      <c r="L406" s="41">
        <v>0.1229</v>
      </c>
      <c r="M406" s="41">
        <v>740.18709999999999</v>
      </c>
      <c r="N406" s="41">
        <v>0</v>
      </c>
      <c r="O406" s="42">
        <f>SUM(G406:N406)</f>
        <v>760.96320000000003</v>
      </c>
      <c r="P406" s="42">
        <f>SUMPRODUCT(G406:N406,$G$2:$N$2)*1000/Assumptions!$C$15</f>
        <v>241.12283936158357</v>
      </c>
      <c r="Q406" s="43">
        <f>IF(ISNUMBER(Finder!$G$5),Finder!$D$8*Assumptions!$C$16*2*ASIN(SQRT(SIN(RADIANS(E406-Finder!$G$5)/2)^2+COS(RADIANS(Finder!$G$5))*COS(RADIANS(E406))*SIN(RADIANS(F406-Finder!$G$6)/2)^2)),"")</f>
        <v>1015.2213543741053</v>
      </c>
      <c r="R406" s="39">
        <f>IF(ISNUMBER(Q406),IF(Q406&lt;=Finder!$D$7,1,0),0)</f>
        <v>0</v>
      </c>
      <c r="S406" s="39" t="str">
        <f>IF(R406=1,O406+ROW()*0.000000001,"")</f>
        <v/>
      </c>
      <c r="T406" s="39" t="str">
        <f>IF(O406&gt;0,INDEX(Calc!$B$4:$B$11,MATCH(MAX(G406:N406),G406:N406,0)),"-")</f>
        <v>Soya Trash</v>
      </c>
    </row>
    <row r="407" spans="1:20">
      <c r="A407" s="39">
        <v>404</v>
      </c>
      <c r="B407" s="39" t="s">
        <v>445</v>
      </c>
      <c r="C407" s="39" t="s">
        <v>479</v>
      </c>
      <c r="D407" s="39" t="str">
        <f>B407&amp;"|"&amp;C407</f>
        <v>Maharashtra|Yavatmal</v>
      </c>
      <c r="E407" s="40">
        <v>20.39</v>
      </c>
      <c r="F407" s="40">
        <v>78.12</v>
      </c>
      <c r="G407" s="41">
        <v>0</v>
      </c>
      <c r="H407" s="41">
        <v>26.55</v>
      </c>
      <c r="I407" s="41">
        <v>2.7181999999999999</v>
      </c>
      <c r="J407" s="41">
        <v>0</v>
      </c>
      <c r="K407" s="41">
        <v>137.4408</v>
      </c>
      <c r="L407" s="41">
        <v>16.034800000000001</v>
      </c>
      <c r="M407" s="41">
        <v>403.80450000000002</v>
      </c>
      <c r="N407" s="41">
        <v>0</v>
      </c>
      <c r="O407" s="42">
        <f>SUM(G407:N407)</f>
        <v>586.54830000000004</v>
      </c>
      <c r="P407" s="42">
        <f>SUMPRODUCT(G407:N407,$G$2:$N$2)*1000/Assumptions!$C$15</f>
        <v>182.9272863542522</v>
      </c>
      <c r="Q407" s="43">
        <f>IF(ISNUMBER(Finder!$G$5),Finder!$D$8*Assumptions!$C$16*2*ASIN(SQRT(SIN(RADIANS(E407-Finder!$G$5)/2)^2+COS(RADIANS(Finder!$G$5))*COS(RADIANS(E407))*SIN(RADIANS(F407-Finder!$G$6)/2)^2)),"")</f>
        <v>1003.6608556606316</v>
      </c>
      <c r="R407" s="39">
        <f>IF(ISNUMBER(Q407),IF(Q407&lt;=Finder!$D$7,1,0),0)</f>
        <v>0</v>
      </c>
      <c r="S407" s="39" t="str">
        <f>IF(R407=1,O407+ROW()*0.000000001,"")</f>
        <v/>
      </c>
      <c r="T407" s="39" t="str">
        <f>IF(O407&gt;0,INDEX(Calc!$B$4:$B$11,MATCH(MAX(G407:N407),G407:N407,0)),"-")</f>
        <v>Soya Trash</v>
      </c>
    </row>
    <row r="408" spans="1:20">
      <c r="A408" s="39">
        <v>405</v>
      </c>
      <c r="B408" s="39" t="s">
        <v>480</v>
      </c>
      <c r="C408" s="39" t="s">
        <v>481</v>
      </c>
      <c r="D408" s="39" t="str">
        <f>B408&amp;"|"&amp;C408</f>
        <v>Manipur|Bishnupur</v>
      </c>
      <c r="E408" s="40">
        <v>24.63</v>
      </c>
      <c r="F408" s="40">
        <v>93.76</v>
      </c>
      <c r="G408" s="41">
        <v>0</v>
      </c>
      <c r="H408" s="41">
        <v>0</v>
      </c>
      <c r="I408" s="41">
        <v>2.3414999999999999</v>
      </c>
      <c r="J408" s="41">
        <v>0</v>
      </c>
      <c r="K408" s="41">
        <v>10.845000000000001</v>
      </c>
      <c r="L408" s="41">
        <v>1.2653000000000001</v>
      </c>
      <c r="M408" s="41">
        <v>0</v>
      </c>
      <c r="N408" s="41">
        <v>0</v>
      </c>
      <c r="O408" s="42">
        <f>SUM(G408:N408)</f>
        <v>14.4518</v>
      </c>
      <c r="P408" s="42">
        <f>SUMPRODUCT(G408:N408,$G$2:$N$2)*1000/Assumptions!$C$15</f>
        <v>4.2300596302052789</v>
      </c>
      <c r="Q408" s="43">
        <f>IF(ISNUMBER(Finder!$G$5),Finder!$D$8*Assumptions!$C$16*2*ASIN(SQRT(SIN(RADIANS(E408-Finder!$G$5)/2)^2+COS(RADIANS(Finder!$G$5))*COS(RADIANS(E408))*SIN(RADIANS(F408-Finder!$G$6)/2)^2)),"")</f>
        <v>1856.0623869639787</v>
      </c>
      <c r="R408" s="39">
        <f>IF(ISNUMBER(Q408),IF(Q408&lt;=Finder!$D$7,1,0),0)</f>
        <v>0</v>
      </c>
      <c r="S408" s="39" t="str">
        <f>IF(R408=1,O408+ROW()*0.000000001,"")</f>
        <v/>
      </c>
      <c r="T408" s="39" t="str">
        <f>IF(O408&gt;0,INDEX(Calc!$B$4:$B$11,MATCH(MAX(G408:N408),G408:N408,0)),"-")</f>
        <v>Cane Trash</v>
      </c>
    </row>
    <row r="409" spans="1:20">
      <c r="A409" s="39">
        <v>406</v>
      </c>
      <c r="B409" s="39" t="s">
        <v>480</v>
      </c>
      <c r="C409" s="39" t="s">
        <v>482</v>
      </c>
      <c r="D409" s="39" t="str">
        <f>B409&amp;"|"&amp;C409</f>
        <v>Manipur|Chandel</v>
      </c>
      <c r="E409" s="40">
        <v>24.32</v>
      </c>
      <c r="F409" s="40">
        <v>94</v>
      </c>
      <c r="G409" s="41">
        <v>0</v>
      </c>
      <c r="H409" s="41">
        <v>0</v>
      </c>
      <c r="I409" s="41">
        <v>9.1980000000000004</v>
      </c>
      <c r="J409" s="41">
        <v>0</v>
      </c>
      <c r="K409" s="41">
        <v>2.4929999999999999</v>
      </c>
      <c r="L409" s="41">
        <v>0.29089999999999999</v>
      </c>
      <c r="M409" s="41">
        <v>0</v>
      </c>
      <c r="N409" s="41">
        <v>0</v>
      </c>
      <c r="O409" s="42">
        <f>SUM(G409:N409)</f>
        <v>11.981900000000001</v>
      </c>
      <c r="P409" s="42">
        <f>SUMPRODUCT(G409:N409,$G$2:$N$2)*1000/Assumptions!$C$15</f>
        <v>3.519931685337244</v>
      </c>
      <c r="Q409" s="43">
        <f>IF(ISNUMBER(Finder!$G$5),Finder!$D$8*Assumptions!$C$16*2*ASIN(SQRT(SIN(RADIANS(E409-Finder!$G$5)/2)^2+COS(RADIANS(Finder!$G$5))*COS(RADIANS(E409))*SIN(RADIANS(F409-Finder!$G$6)/2)^2)),"")</f>
        <v>1890.7105064510185</v>
      </c>
      <c r="R409" s="39">
        <f>IF(ISNUMBER(Q409),IF(Q409&lt;=Finder!$D$7,1,0),0)</f>
        <v>0</v>
      </c>
      <c r="S409" s="39" t="str">
        <f>IF(R409=1,O409+ROW()*0.000000001,"")</f>
        <v/>
      </c>
      <c r="T409" s="39" t="str">
        <f>IF(O409&gt;0,INDEX(Calc!$B$4:$B$11,MATCH(MAX(G409:N409),G409:N409,0)),"-")</f>
        <v>Maize Stover</v>
      </c>
    </row>
    <row r="410" spans="1:20">
      <c r="A410" s="39">
        <v>407</v>
      </c>
      <c r="B410" s="39" t="s">
        <v>480</v>
      </c>
      <c r="C410" s="39" t="s">
        <v>483</v>
      </c>
      <c r="D410" s="39" t="str">
        <f>B410&amp;"|"&amp;C410</f>
        <v>Manipur|Churachandpur</v>
      </c>
      <c r="E410" s="40">
        <v>24.33</v>
      </c>
      <c r="F410" s="40">
        <v>93.68</v>
      </c>
      <c r="G410" s="41">
        <v>0</v>
      </c>
      <c r="H410" s="41">
        <v>0</v>
      </c>
      <c r="I410" s="41">
        <v>12.7155</v>
      </c>
      <c r="J410" s="41">
        <v>0</v>
      </c>
      <c r="K410" s="41">
        <v>1.7549999999999999</v>
      </c>
      <c r="L410" s="41">
        <v>0.20480000000000001</v>
      </c>
      <c r="M410" s="41">
        <v>0</v>
      </c>
      <c r="N410" s="41">
        <v>0</v>
      </c>
      <c r="O410" s="42">
        <f>SUM(G410:N410)</f>
        <v>14.675300000000002</v>
      </c>
      <c r="P410" s="42">
        <f>SUMPRODUCT(G410:N410,$G$2:$N$2)*1000/Assumptions!$C$15</f>
        <v>4.3137364703812322</v>
      </c>
      <c r="Q410" s="43">
        <f>IF(ISNUMBER(Finder!$G$5),Finder!$D$8*Assumptions!$C$16*2*ASIN(SQRT(SIN(RADIANS(E410-Finder!$G$5)/2)^2+COS(RADIANS(Finder!$G$5))*COS(RADIANS(E410))*SIN(RADIANS(F410-Finder!$G$6)/2)^2)),"")</f>
        <v>1859.9642962493599</v>
      </c>
      <c r="R410" s="39">
        <f>IF(ISNUMBER(Q410),IF(Q410&lt;=Finder!$D$7,1,0),0)</f>
        <v>0</v>
      </c>
      <c r="S410" s="39" t="str">
        <f>IF(R410=1,O410+ROW()*0.000000001,"")</f>
        <v/>
      </c>
      <c r="T410" s="39" t="str">
        <f>IF(O410&gt;0,INDEX(Calc!$B$4:$B$11,MATCH(MAX(G410:N410),G410:N410,0)),"-")</f>
        <v>Maize Stover</v>
      </c>
    </row>
    <row r="411" spans="1:20">
      <c r="A411" s="39">
        <v>408</v>
      </c>
      <c r="B411" s="39" t="s">
        <v>480</v>
      </c>
      <c r="C411" s="39" t="s">
        <v>484</v>
      </c>
      <c r="D411" s="39" t="str">
        <f>B411&amp;"|"&amp;C411</f>
        <v>Manipur|Imphal East</v>
      </c>
      <c r="E411" s="40">
        <v>24.81</v>
      </c>
      <c r="F411" s="40">
        <v>93.99</v>
      </c>
      <c r="G411" s="41">
        <v>0</v>
      </c>
      <c r="H411" s="41">
        <v>0</v>
      </c>
      <c r="I411" s="41">
        <v>3.4860000000000002</v>
      </c>
      <c r="J411" s="41">
        <v>0</v>
      </c>
      <c r="K411" s="41">
        <v>6.1668000000000003</v>
      </c>
      <c r="L411" s="41">
        <v>0.71950000000000003</v>
      </c>
      <c r="M411" s="41">
        <v>0</v>
      </c>
      <c r="N411" s="41">
        <v>0</v>
      </c>
      <c r="O411" s="42">
        <f>SUM(G411:N411)</f>
        <v>10.372300000000001</v>
      </c>
      <c r="P411" s="42">
        <f>SUMPRODUCT(G411:N411,$G$2:$N$2)*1000/Assumptions!$C$15</f>
        <v>3.0391729551319648</v>
      </c>
      <c r="Q411" s="43">
        <f>IF(ISNUMBER(Finder!$G$5),Finder!$D$8*Assumptions!$C$16*2*ASIN(SQRT(SIN(RADIANS(E411-Finder!$G$5)/2)^2+COS(RADIANS(Finder!$G$5))*COS(RADIANS(E411))*SIN(RADIANS(F411-Finder!$G$6)/2)^2)),"")</f>
        <v>1871.3614297920199</v>
      </c>
      <c r="R411" s="39">
        <f>IF(ISNUMBER(Q411),IF(Q411&lt;=Finder!$D$7,1,0),0)</f>
        <v>0</v>
      </c>
      <c r="S411" s="39" t="str">
        <f>IF(R411=1,O411+ROW()*0.000000001,"")</f>
        <v/>
      </c>
      <c r="T411" s="39" t="str">
        <f>IF(O411&gt;0,INDEX(Calc!$B$4:$B$11,MATCH(MAX(G411:N411),G411:N411,0)),"-")</f>
        <v>Cane Trash</v>
      </c>
    </row>
    <row r="412" spans="1:20">
      <c r="A412" s="39">
        <v>409</v>
      </c>
      <c r="B412" s="39" t="s">
        <v>480</v>
      </c>
      <c r="C412" s="39" t="s">
        <v>485</v>
      </c>
      <c r="D412" s="39" t="str">
        <f>B412&amp;"|"&amp;C412</f>
        <v>Manipur|Imphal West</v>
      </c>
      <c r="E412" s="40">
        <v>24.81</v>
      </c>
      <c r="F412" s="40">
        <v>93.91</v>
      </c>
      <c r="G412" s="41">
        <v>0</v>
      </c>
      <c r="H412" s="41">
        <v>0</v>
      </c>
      <c r="I412" s="41">
        <v>3.4649999999999999</v>
      </c>
      <c r="J412" s="41">
        <v>0</v>
      </c>
      <c r="K412" s="41">
        <v>8.3178000000000001</v>
      </c>
      <c r="L412" s="41">
        <v>0.97040000000000004</v>
      </c>
      <c r="M412" s="41">
        <v>0</v>
      </c>
      <c r="N412" s="41">
        <v>0</v>
      </c>
      <c r="O412" s="42">
        <f>SUM(G412:N412)</f>
        <v>12.7532</v>
      </c>
      <c r="P412" s="42">
        <f>SUMPRODUCT(G412:N412,$G$2:$N$2)*1000/Assumptions!$C$15</f>
        <v>3.7353570392961886</v>
      </c>
      <c r="Q412" s="43">
        <f>IF(ISNUMBER(Finder!$G$5),Finder!$D$8*Assumptions!$C$16*2*ASIN(SQRT(SIN(RADIANS(E412-Finder!$G$5)/2)^2+COS(RADIANS(Finder!$G$5))*COS(RADIANS(E412))*SIN(RADIANS(F412-Finder!$G$6)/2)^2)),"")</f>
        <v>1863.7267263931697</v>
      </c>
      <c r="R412" s="39">
        <f>IF(ISNUMBER(Q412),IF(Q412&lt;=Finder!$D$7,1,0),0)</f>
        <v>0</v>
      </c>
      <c r="S412" s="39" t="str">
        <f>IF(R412=1,O412+ROW()*0.000000001,"")</f>
        <v/>
      </c>
      <c r="T412" s="39" t="str">
        <f>IF(O412&gt;0,INDEX(Calc!$B$4:$B$11,MATCH(MAX(G412:N412),G412:N412,0)),"-")</f>
        <v>Cane Trash</v>
      </c>
    </row>
    <row r="413" spans="1:20">
      <c r="A413" s="39">
        <v>410</v>
      </c>
      <c r="B413" s="39" t="s">
        <v>480</v>
      </c>
      <c r="C413" s="39" t="s">
        <v>486</v>
      </c>
      <c r="D413" s="39" t="str">
        <f>B413&amp;"|"&amp;C413</f>
        <v>Manipur|Senapati</v>
      </c>
      <c r="E413" s="40">
        <v>25.27</v>
      </c>
      <c r="F413" s="40">
        <v>94.02</v>
      </c>
      <c r="G413" s="41">
        <v>0</v>
      </c>
      <c r="H413" s="41">
        <v>0</v>
      </c>
      <c r="I413" s="41">
        <v>10.143000000000001</v>
      </c>
      <c r="J413" s="41">
        <v>0</v>
      </c>
      <c r="K413" s="41">
        <v>2.3849999999999998</v>
      </c>
      <c r="L413" s="41">
        <v>0.27829999999999999</v>
      </c>
      <c r="M413" s="41">
        <v>0</v>
      </c>
      <c r="N413" s="41">
        <v>0</v>
      </c>
      <c r="O413" s="42">
        <f>SUM(G413:N413)</f>
        <v>12.8063</v>
      </c>
      <c r="P413" s="42">
        <f>SUMPRODUCT(G413:N413,$G$2:$N$2)*1000/Assumptions!$C$15</f>
        <v>3.7626681727272731</v>
      </c>
      <c r="Q413" s="43">
        <f>IF(ISNUMBER(Finder!$G$5),Finder!$D$8*Assumptions!$C$16*2*ASIN(SQRT(SIN(RADIANS(E413-Finder!$G$5)/2)^2+COS(RADIANS(Finder!$G$5))*COS(RADIANS(E413))*SIN(RADIANS(F413-Finder!$G$6)/2)^2)),"")</f>
        <v>1858.2175769868325</v>
      </c>
      <c r="R413" s="39">
        <f>IF(ISNUMBER(Q413),IF(Q413&lt;=Finder!$D$7,1,0),0)</f>
        <v>0</v>
      </c>
      <c r="S413" s="39" t="str">
        <f>IF(R413=1,O413+ROW()*0.000000001,"")</f>
        <v/>
      </c>
      <c r="T413" s="39" t="str">
        <f>IF(O413&gt;0,INDEX(Calc!$B$4:$B$11,MATCH(MAX(G413:N413),G413:N413,0)),"-")</f>
        <v>Maize Stover</v>
      </c>
    </row>
    <row r="414" spans="1:20">
      <c r="A414" s="39">
        <v>411</v>
      </c>
      <c r="B414" s="39" t="s">
        <v>480</v>
      </c>
      <c r="C414" s="39" t="s">
        <v>487</v>
      </c>
      <c r="D414" s="39" t="str">
        <f>B414&amp;"|"&amp;C414</f>
        <v>Manipur|Tamenglong</v>
      </c>
      <c r="E414" s="40">
        <v>24.99</v>
      </c>
      <c r="F414" s="40">
        <v>93.5</v>
      </c>
      <c r="G414" s="41">
        <v>0</v>
      </c>
      <c r="H414" s="41">
        <v>0</v>
      </c>
      <c r="I414" s="41">
        <v>5.3339999999999996</v>
      </c>
      <c r="J414" s="41">
        <v>0</v>
      </c>
      <c r="K414" s="41">
        <v>2.3472</v>
      </c>
      <c r="L414" s="41">
        <v>0.27379999999999999</v>
      </c>
      <c r="M414" s="41">
        <v>0</v>
      </c>
      <c r="N414" s="41">
        <v>0</v>
      </c>
      <c r="O414" s="42">
        <f>SUM(G414:N414)</f>
        <v>7.9549999999999992</v>
      </c>
      <c r="P414" s="42">
        <f>SUMPRODUCT(G414:N414,$G$2:$N$2)*1000/Assumptions!$C$15</f>
        <v>2.3355942586510263</v>
      </c>
      <c r="Q414" s="43">
        <f>IF(ISNUMBER(Finder!$G$5),Finder!$D$8*Assumptions!$C$16*2*ASIN(SQRT(SIN(RADIANS(E414-Finder!$G$5)/2)^2+COS(RADIANS(Finder!$G$5))*COS(RADIANS(E414))*SIN(RADIANS(F414-Finder!$G$6)/2)^2)),"")</f>
        <v>1818.1256770231601</v>
      </c>
      <c r="R414" s="39">
        <f>IF(ISNUMBER(Q414),IF(Q414&lt;=Finder!$D$7,1,0),0)</f>
        <v>0</v>
      </c>
      <c r="S414" s="39" t="str">
        <f>IF(R414=1,O414+ROW()*0.000000001,"")</f>
        <v/>
      </c>
      <c r="T414" s="39" t="str">
        <f>IF(O414&gt;0,INDEX(Calc!$B$4:$B$11,MATCH(MAX(G414:N414),G414:N414,0)),"-")</f>
        <v>Maize Stover</v>
      </c>
    </row>
    <row r="415" spans="1:20">
      <c r="A415" s="39">
        <v>412</v>
      </c>
      <c r="B415" s="39" t="s">
        <v>480</v>
      </c>
      <c r="C415" s="39" t="s">
        <v>488</v>
      </c>
      <c r="D415" s="39" t="str">
        <f>B415&amp;"|"&amp;C415</f>
        <v>Manipur|Thoubal</v>
      </c>
      <c r="E415" s="40">
        <v>24.64</v>
      </c>
      <c r="F415" s="40">
        <v>94.01</v>
      </c>
      <c r="G415" s="41">
        <v>0</v>
      </c>
      <c r="H415" s="41">
        <v>0</v>
      </c>
      <c r="I415" s="41">
        <v>6.0374999999999996</v>
      </c>
      <c r="J415" s="41">
        <v>0</v>
      </c>
      <c r="K415" s="41">
        <v>15.84</v>
      </c>
      <c r="L415" s="41">
        <v>1.8480000000000001</v>
      </c>
      <c r="M415" s="41">
        <v>0</v>
      </c>
      <c r="N415" s="41">
        <v>0</v>
      </c>
      <c r="O415" s="42">
        <f>SUM(G415:N415)</f>
        <v>23.725499999999997</v>
      </c>
      <c r="P415" s="42">
        <f>SUMPRODUCT(G415:N415,$G$2:$N$2)*1000/Assumptions!$C$15</f>
        <v>6.948371243401759</v>
      </c>
      <c r="Q415" s="43">
        <f>IF(ISNUMBER(Finder!$G$5),Finder!$D$8*Assumptions!$C$16*2*ASIN(SQRT(SIN(RADIANS(E415-Finder!$G$5)/2)^2+COS(RADIANS(Finder!$G$5))*COS(RADIANS(E415))*SIN(RADIANS(F415-Finder!$G$6)/2)^2)),"")</f>
        <v>1879.4964750777397</v>
      </c>
      <c r="R415" s="39">
        <f>IF(ISNUMBER(Q415),IF(Q415&lt;=Finder!$D$7,1,0),0)</f>
        <v>0</v>
      </c>
      <c r="S415" s="39" t="str">
        <f>IF(R415=1,O415+ROW()*0.000000001,"")</f>
        <v/>
      </c>
      <c r="T415" s="39" t="str">
        <f>IF(O415&gt;0,INDEX(Calc!$B$4:$B$11,MATCH(MAX(G415:N415),G415:N415,0)),"-")</f>
        <v>Cane Trash</v>
      </c>
    </row>
    <row r="416" spans="1:20">
      <c r="A416" s="39">
        <v>413</v>
      </c>
      <c r="B416" s="39" t="s">
        <v>480</v>
      </c>
      <c r="C416" s="39" t="s">
        <v>489</v>
      </c>
      <c r="D416" s="39" t="str">
        <f>B416&amp;"|"&amp;C416</f>
        <v>Manipur|Ukhrul</v>
      </c>
      <c r="E416" s="40">
        <v>25.1</v>
      </c>
      <c r="F416" s="40">
        <v>94.36</v>
      </c>
      <c r="G416" s="41">
        <v>0</v>
      </c>
      <c r="H416" s="41">
        <v>0</v>
      </c>
      <c r="I416" s="41">
        <v>6.6675000000000004</v>
      </c>
      <c r="J416" s="41">
        <v>0</v>
      </c>
      <c r="K416" s="41">
        <v>1.962</v>
      </c>
      <c r="L416" s="41">
        <v>0.22889999999999999</v>
      </c>
      <c r="M416" s="41">
        <v>0</v>
      </c>
      <c r="N416" s="41">
        <v>0</v>
      </c>
      <c r="O416" s="42">
        <f>SUM(G416:N416)</f>
        <v>8.8583999999999996</v>
      </c>
      <c r="P416" s="42">
        <f>SUMPRODUCT(G416:N416,$G$2:$N$2)*1000/Assumptions!$C$15</f>
        <v>2.6021107821114371</v>
      </c>
      <c r="Q416" s="43">
        <f>IF(ISNUMBER(Finder!$G$5),Finder!$D$8*Assumptions!$C$16*2*ASIN(SQRT(SIN(RADIANS(E416-Finder!$G$5)/2)^2+COS(RADIANS(Finder!$G$5))*COS(RADIANS(E416))*SIN(RADIANS(F416-Finder!$G$6)/2)^2)),"")</f>
        <v>1896.5571294453296</v>
      </c>
      <c r="R416" s="39">
        <f>IF(ISNUMBER(Q416),IF(Q416&lt;=Finder!$D$7,1,0),0)</f>
        <v>0</v>
      </c>
      <c r="S416" s="39" t="str">
        <f>IF(R416=1,O416+ROW()*0.000000001,"")</f>
        <v/>
      </c>
      <c r="T416" s="39" t="str">
        <f>IF(O416&gt;0,INDEX(Calc!$B$4:$B$11,MATCH(MAX(G416:N416),G416:N416,0)),"-")</f>
        <v>Maize Stover</v>
      </c>
    </row>
    <row r="417" spans="1:20">
      <c r="A417" s="39">
        <v>414</v>
      </c>
      <c r="B417" s="39" t="s">
        <v>490</v>
      </c>
      <c r="C417" s="39" t="s">
        <v>491</v>
      </c>
      <c r="D417" s="39" t="str">
        <f>B417&amp;"|"&amp;C417</f>
        <v>Meghalaya|East Garo Hills</v>
      </c>
      <c r="E417" s="40">
        <v>25.5</v>
      </c>
      <c r="F417" s="40">
        <v>90.6</v>
      </c>
      <c r="G417" s="41">
        <v>0</v>
      </c>
      <c r="H417" s="41">
        <v>0</v>
      </c>
      <c r="I417" s="41">
        <v>0.84099999999999997</v>
      </c>
      <c r="J417" s="41">
        <v>0.1666</v>
      </c>
      <c r="K417" s="41">
        <v>1.49E-2</v>
      </c>
      <c r="L417" s="41">
        <v>1.6999999999999999E-3</v>
      </c>
      <c r="M417" s="41">
        <v>9.2700000000000005E-2</v>
      </c>
      <c r="N417" s="41">
        <v>0</v>
      </c>
      <c r="O417" s="42">
        <f>SUM(G417:N417)</f>
        <v>1.1169</v>
      </c>
      <c r="P417" s="42">
        <f>SUMPRODUCT(G417:N417,$G$2:$N$2)*1000/Assumptions!$C$15</f>
        <v>0.33055198563049853</v>
      </c>
      <c r="Q417" s="43">
        <f>IF(ISNUMBER(Finder!$G$5),Finder!$D$8*Assumptions!$C$16*2*ASIN(SQRT(SIN(RADIANS(E417-Finder!$G$5)/2)^2+COS(RADIANS(Finder!$G$5))*COS(RADIANS(E417))*SIN(RADIANS(F417-Finder!$G$6)/2)^2)),"")</f>
        <v>1523.6827344769979</v>
      </c>
      <c r="R417" s="39">
        <f>IF(ISNUMBER(Q417),IF(Q417&lt;=Finder!$D$7,1,0),0)</f>
        <v>0</v>
      </c>
      <c r="S417" s="39" t="str">
        <f>IF(R417=1,O417+ROW()*0.000000001,"")</f>
        <v/>
      </c>
      <c r="T417" s="39" t="str">
        <f>IF(O417&gt;0,INDEX(Calc!$B$4:$B$11,MATCH(MAX(G417:N417),G417:N417,0)),"-")</f>
        <v>Maize Stover</v>
      </c>
    </row>
    <row r="418" spans="1:20">
      <c r="A418" s="39">
        <v>415</v>
      </c>
      <c r="B418" s="39" t="s">
        <v>490</v>
      </c>
      <c r="C418" s="39" t="s">
        <v>492</v>
      </c>
      <c r="D418" s="39" t="str">
        <f>B418&amp;"|"&amp;C418</f>
        <v>Meghalaya|East Jaintia Hills</v>
      </c>
      <c r="E418" s="40">
        <v>25.36</v>
      </c>
      <c r="F418" s="40">
        <v>92.37</v>
      </c>
      <c r="G418" s="41">
        <v>0</v>
      </c>
      <c r="H418" s="41">
        <v>0</v>
      </c>
      <c r="I418" s="41">
        <v>0.4294</v>
      </c>
      <c r="J418" s="41">
        <v>0</v>
      </c>
      <c r="K418" s="41">
        <v>8.9999999999999998E-4</v>
      </c>
      <c r="L418" s="41">
        <v>1E-4</v>
      </c>
      <c r="M418" s="41">
        <v>0.1032</v>
      </c>
      <c r="N418" s="41">
        <v>0</v>
      </c>
      <c r="O418" s="42">
        <f>SUM(G418:N418)</f>
        <v>0.53359999999999996</v>
      </c>
      <c r="P418" s="42">
        <f>SUMPRODUCT(G418:N418,$G$2:$N$2)*1000/Assumptions!$C$15</f>
        <v>0.15920436686217007</v>
      </c>
      <c r="Q418" s="43">
        <f>IF(ISNUMBER(Finder!$G$5),Finder!$D$8*Assumptions!$C$16*2*ASIN(SQRT(SIN(RADIANS(E418-Finder!$G$5)/2)^2+COS(RADIANS(Finder!$G$5))*COS(RADIANS(E418))*SIN(RADIANS(F418-Finder!$G$6)/2)^2)),"")</f>
        <v>1697.2388111440537</v>
      </c>
      <c r="R418" s="39">
        <f>IF(ISNUMBER(Q418),IF(Q418&lt;=Finder!$D$7,1,0),0)</f>
        <v>0</v>
      </c>
      <c r="S418" s="39" t="str">
        <f>IF(R418=1,O418+ROW()*0.000000001,"")</f>
        <v/>
      </c>
      <c r="T418" s="39" t="str">
        <f>IF(O418&gt;0,INDEX(Calc!$B$4:$B$11,MATCH(MAX(G418:N418),G418:N418,0)),"-")</f>
        <v>Maize Stover</v>
      </c>
    </row>
    <row r="419" spans="1:20">
      <c r="A419" s="39">
        <v>416</v>
      </c>
      <c r="B419" s="39" t="s">
        <v>490</v>
      </c>
      <c r="C419" s="39" t="s">
        <v>493</v>
      </c>
      <c r="D419" s="39" t="str">
        <f>B419&amp;"|"&amp;C419</f>
        <v>Meghalaya|East Khasi Hills</v>
      </c>
      <c r="E419" s="40">
        <v>25.57</v>
      </c>
      <c r="F419" s="40">
        <v>91.88</v>
      </c>
      <c r="G419" s="41">
        <v>0</v>
      </c>
      <c r="H419" s="41">
        <v>0</v>
      </c>
      <c r="I419" s="41">
        <v>3.7254</v>
      </c>
      <c r="J419" s="41">
        <v>5.45E-2</v>
      </c>
      <c r="K419" s="41">
        <v>0</v>
      </c>
      <c r="L419" s="41">
        <v>0</v>
      </c>
      <c r="M419" s="41">
        <v>0.4078</v>
      </c>
      <c r="N419" s="41">
        <v>0</v>
      </c>
      <c r="O419" s="42">
        <f>SUM(G419:N419)</f>
        <v>4.1877000000000004</v>
      </c>
      <c r="P419" s="42">
        <f>SUMPRODUCT(G419:N419,$G$2:$N$2)*1000/Assumptions!$C$15</f>
        <v>1.2407565501466276</v>
      </c>
      <c r="Q419" s="43">
        <f>IF(ISNUMBER(Finder!$G$5),Finder!$D$8*Assumptions!$C$16*2*ASIN(SQRT(SIN(RADIANS(E419-Finder!$G$5)/2)^2+COS(RADIANS(Finder!$G$5))*COS(RADIANS(E419))*SIN(RADIANS(F419-Finder!$G$6)/2)^2)),"")</f>
        <v>1643.2539464350516</v>
      </c>
      <c r="R419" s="39">
        <f>IF(ISNUMBER(Q419),IF(Q419&lt;=Finder!$D$7,1,0),0)</f>
        <v>0</v>
      </c>
      <c r="S419" s="39" t="str">
        <f>IF(R419=1,O419+ROW()*0.000000001,"")</f>
        <v/>
      </c>
      <c r="T419" s="39" t="str">
        <f>IF(O419&gt;0,INDEX(Calc!$B$4:$B$11,MATCH(MAX(G419:N419),G419:N419,0)),"-")</f>
        <v>Maize Stover</v>
      </c>
    </row>
    <row r="420" spans="1:20">
      <c r="A420" s="39">
        <v>417</v>
      </c>
      <c r="B420" s="39" t="s">
        <v>490</v>
      </c>
      <c r="C420" s="39" t="s">
        <v>494</v>
      </c>
      <c r="D420" s="39" t="str">
        <f>B420&amp;"|"&amp;C420</f>
        <v>Meghalaya|North Garo Hills</v>
      </c>
      <c r="E420" s="40">
        <v>25.9</v>
      </c>
      <c r="F420" s="40">
        <v>90.6</v>
      </c>
      <c r="G420" s="41">
        <v>0</v>
      </c>
      <c r="H420" s="41">
        <v>0</v>
      </c>
      <c r="I420" s="41">
        <v>0.30449999999999999</v>
      </c>
      <c r="J420" s="41">
        <v>0.16539999999999999</v>
      </c>
      <c r="K420" s="41">
        <v>1.26E-2</v>
      </c>
      <c r="L420" s="41">
        <v>1.5E-3</v>
      </c>
      <c r="M420" s="41">
        <v>0.1024</v>
      </c>
      <c r="N420" s="41">
        <v>0</v>
      </c>
      <c r="O420" s="42">
        <f>SUM(G420:N420)</f>
        <v>0.58640000000000003</v>
      </c>
      <c r="P420" s="42">
        <f>SUMPRODUCT(G420:N420,$G$2:$N$2)*1000/Assumptions!$C$15</f>
        <v>0.17469066539589442</v>
      </c>
      <c r="Q420" s="43">
        <f>IF(ISNUMBER(Finder!$G$5),Finder!$D$8*Assumptions!$C$16*2*ASIN(SQRT(SIN(RADIANS(E420-Finder!$G$5)/2)^2+COS(RADIANS(Finder!$G$5))*COS(RADIANS(E420))*SIN(RADIANS(F420-Finder!$G$6)/2)^2)),"")</f>
        <v>1509.938268703733</v>
      </c>
      <c r="R420" s="39">
        <f>IF(ISNUMBER(Q420),IF(Q420&lt;=Finder!$D$7,1,0),0)</f>
        <v>0</v>
      </c>
      <c r="S420" s="39" t="str">
        <f>IF(R420=1,O420+ROW()*0.000000001,"")</f>
        <v/>
      </c>
      <c r="T420" s="39" t="str">
        <f>IF(O420&gt;0,INDEX(Calc!$B$4:$B$11,MATCH(MAX(G420:N420),G420:N420,0)),"-")</f>
        <v>Maize Stover</v>
      </c>
    </row>
    <row r="421" spans="1:20">
      <c r="A421" s="39">
        <v>418</v>
      </c>
      <c r="B421" s="39" t="s">
        <v>490</v>
      </c>
      <c r="C421" s="39" t="s">
        <v>495</v>
      </c>
      <c r="D421" s="39" t="str">
        <f>B421&amp;"|"&amp;C421</f>
        <v>Meghalaya|Ri Bhoi</v>
      </c>
      <c r="E421" s="40">
        <v>25.9</v>
      </c>
      <c r="F421" s="40">
        <v>91.88</v>
      </c>
      <c r="G421" s="41">
        <v>0</v>
      </c>
      <c r="H421" s="41">
        <v>0</v>
      </c>
      <c r="I421" s="41">
        <v>5.3297999999999996</v>
      </c>
      <c r="J421" s="41">
        <v>9.4899999999999998E-2</v>
      </c>
      <c r="K421" s="41">
        <v>0</v>
      </c>
      <c r="L421" s="41">
        <v>0</v>
      </c>
      <c r="M421" s="41">
        <v>0.29399999999999998</v>
      </c>
      <c r="N421" s="41">
        <v>0</v>
      </c>
      <c r="O421" s="42">
        <f>SUM(G421:N421)</f>
        <v>5.7186999999999992</v>
      </c>
      <c r="P421" s="42">
        <f>SUMPRODUCT(G421:N421,$G$2:$N$2)*1000/Assumptions!$C$15</f>
        <v>1.6886900328445746</v>
      </c>
      <c r="Q421" s="43">
        <f>IF(ISNUMBER(Finder!$G$5),Finder!$D$8*Assumptions!$C$16*2*ASIN(SQRT(SIN(RADIANS(E421-Finder!$G$5)/2)^2+COS(RADIANS(Finder!$G$5))*COS(RADIANS(E421))*SIN(RADIANS(F421-Finder!$G$6)/2)^2)),"")</f>
        <v>1632.4948837163215</v>
      </c>
      <c r="R421" s="39">
        <f>IF(ISNUMBER(Q421),IF(Q421&lt;=Finder!$D$7,1,0),0)</f>
        <v>0</v>
      </c>
      <c r="S421" s="39" t="str">
        <f>IF(R421=1,O421+ROW()*0.000000001,"")</f>
        <v/>
      </c>
      <c r="T421" s="39" t="str">
        <f>IF(O421&gt;0,INDEX(Calc!$B$4:$B$11,MATCH(MAX(G421:N421),G421:N421,0)),"-")</f>
        <v>Maize Stover</v>
      </c>
    </row>
    <row r="422" spans="1:20">
      <c r="A422" s="39">
        <v>419</v>
      </c>
      <c r="B422" s="39" t="s">
        <v>490</v>
      </c>
      <c r="C422" s="39" t="s">
        <v>496</v>
      </c>
      <c r="D422" s="39" t="str">
        <f>B422&amp;"|"&amp;C422</f>
        <v>Meghalaya|South Garo Hills</v>
      </c>
      <c r="E422" s="40">
        <v>25.2</v>
      </c>
      <c r="F422" s="40">
        <v>90.64</v>
      </c>
      <c r="G422" s="41">
        <v>0</v>
      </c>
      <c r="H422" s="41">
        <v>0</v>
      </c>
      <c r="I422" s="41">
        <v>1.1282000000000001</v>
      </c>
      <c r="J422" s="41">
        <v>0.158</v>
      </c>
      <c r="K422" s="41">
        <v>7.0000000000000001E-3</v>
      </c>
      <c r="L422" s="41">
        <v>8.0000000000000004E-4</v>
      </c>
      <c r="M422" s="41">
        <v>4.6300000000000001E-2</v>
      </c>
      <c r="N422" s="41">
        <v>0</v>
      </c>
      <c r="O422" s="42">
        <f>SUM(G422:N422)</f>
        <v>1.3402999999999998</v>
      </c>
      <c r="P422" s="42">
        <f>SUMPRODUCT(G422:N422,$G$2:$N$2)*1000/Assumptions!$C$15</f>
        <v>0.39528141583577708</v>
      </c>
      <c r="Q422" s="43">
        <f>IF(ISNUMBER(Finder!$G$5),Finder!$D$8*Assumptions!$C$16*2*ASIN(SQRT(SIN(RADIANS(E422-Finder!$G$5)/2)^2+COS(RADIANS(Finder!$G$5))*COS(RADIANS(E422))*SIN(RADIANS(F422-Finder!$G$6)/2)^2)),"")</f>
        <v>1538.5255413346354</v>
      </c>
      <c r="R422" s="39">
        <f>IF(ISNUMBER(Q422),IF(Q422&lt;=Finder!$D$7,1,0),0)</f>
        <v>0</v>
      </c>
      <c r="S422" s="39" t="str">
        <f>IF(R422=1,O422+ROW()*0.000000001,"")</f>
        <v/>
      </c>
      <c r="T422" s="39" t="str">
        <f>IF(O422&gt;0,INDEX(Calc!$B$4:$B$11,MATCH(MAX(G422:N422),G422:N422,0)),"-")</f>
        <v>Maize Stover</v>
      </c>
    </row>
    <row r="423" spans="1:20">
      <c r="A423" s="39">
        <v>420</v>
      </c>
      <c r="B423" s="39" t="s">
        <v>490</v>
      </c>
      <c r="C423" s="39" t="s">
        <v>497</v>
      </c>
      <c r="D423" s="39" t="str">
        <f>B423&amp;"|"&amp;C423</f>
        <v>Meghalaya|South West Garo Hills</v>
      </c>
      <c r="E423" s="40">
        <v>25.47</v>
      </c>
      <c r="F423" s="40">
        <v>89.94</v>
      </c>
      <c r="G423" s="41">
        <v>0</v>
      </c>
      <c r="H423" s="41">
        <v>0</v>
      </c>
      <c r="I423" s="41">
        <v>1.9219999999999999</v>
      </c>
      <c r="J423" s="41">
        <v>1.6709000000000001</v>
      </c>
      <c r="K423" s="41">
        <v>9.4000000000000004E-3</v>
      </c>
      <c r="L423" s="41">
        <v>1.1000000000000001E-3</v>
      </c>
      <c r="M423" s="41">
        <v>0.5171</v>
      </c>
      <c r="N423" s="41">
        <v>0</v>
      </c>
      <c r="O423" s="42">
        <f>SUM(G423:N423)</f>
        <v>4.1204999999999998</v>
      </c>
      <c r="P423" s="42">
        <f>SUMPRODUCT(G423:N423,$G$2:$N$2)*1000/Assumptions!$C$15</f>
        <v>1.2233300577712609</v>
      </c>
      <c r="Q423" s="43">
        <f>IF(ISNUMBER(Finder!$G$5),Finder!$D$8*Assumptions!$C$16*2*ASIN(SQRT(SIN(RADIANS(E423-Finder!$G$5)/2)^2+COS(RADIANS(Finder!$G$5))*COS(RADIANS(E423))*SIN(RADIANS(F423-Finder!$G$6)/2)^2)),"")</f>
        <v>1462.1748618082777</v>
      </c>
      <c r="R423" s="39">
        <f>IF(ISNUMBER(Q423),IF(Q423&lt;=Finder!$D$7,1,0),0)</f>
        <v>0</v>
      </c>
      <c r="S423" s="39" t="str">
        <f>IF(R423=1,O423+ROW()*0.000000001,"")</f>
        <v/>
      </c>
      <c r="T423" s="39" t="str">
        <f>IF(O423&gt;0,INDEX(Calc!$B$4:$B$11,MATCH(MAX(G423:N423),G423:N423,0)),"-")</f>
        <v>Maize Stover</v>
      </c>
    </row>
    <row r="424" spans="1:20">
      <c r="A424" s="39">
        <v>421</v>
      </c>
      <c r="B424" s="39" t="s">
        <v>490</v>
      </c>
      <c r="C424" s="39" t="s">
        <v>498</v>
      </c>
      <c r="D424" s="39" t="str">
        <f>B424&amp;"|"&amp;C424</f>
        <v>Meghalaya|South West Khasi Hills</v>
      </c>
      <c r="E424" s="40">
        <v>25.37</v>
      </c>
      <c r="F424" s="40">
        <v>91.48</v>
      </c>
      <c r="G424" s="41">
        <v>0</v>
      </c>
      <c r="H424" s="41">
        <v>0</v>
      </c>
      <c r="I424" s="41">
        <v>1.228</v>
      </c>
      <c r="J424" s="41">
        <v>5.4999999999999997E-3</v>
      </c>
      <c r="K424" s="41">
        <v>0</v>
      </c>
      <c r="L424" s="41">
        <v>0</v>
      </c>
      <c r="M424" s="41">
        <v>9.5999999999999992E-3</v>
      </c>
      <c r="N424" s="41">
        <v>0</v>
      </c>
      <c r="O424" s="42">
        <f>SUM(G424:N424)</f>
        <v>1.2431000000000001</v>
      </c>
      <c r="P424" s="42">
        <f>SUMPRODUCT(G424:N424,$G$2:$N$2)*1000/Assumptions!$C$15</f>
        <v>0.36590484574780052</v>
      </c>
      <c r="Q424" s="43">
        <f>IF(ISNUMBER(Finder!$G$5),Finder!$D$8*Assumptions!$C$16*2*ASIN(SQRT(SIN(RADIANS(E424-Finder!$G$5)/2)^2+COS(RADIANS(Finder!$G$5))*COS(RADIANS(E424))*SIN(RADIANS(F424-Finder!$G$6)/2)^2)),"")</f>
        <v>1612.0180299564579</v>
      </c>
      <c r="R424" s="39">
        <f>IF(ISNUMBER(Q424),IF(Q424&lt;=Finder!$D$7,1,0),0)</f>
        <v>0</v>
      </c>
      <c r="S424" s="39" t="str">
        <f>IF(R424=1,O424+ROW()*0.000000001,"")</f>
        <v/>
      </c>
      <c r="T424" s="39" t="str">
        <f>IF(O424&gt;0,INDEX(Calc!$B$4:$B$11,MATCH(MAX(G424:N424),G424:N424,0)),"-")</f>
        <v>Maize Stover</v>
      </c>
    </row>
    <row r="425" spans="1:20">
      <c r="A425" s="39">
        <v>422</v>
      </c>
      <c r="B425" s="39" t="s">
        <v>490</v>
      </c>
      <c r="C425" s="39" t="s">
        <v>499</v>
      </c>
      <c r="D425" s="39" t="str">
        <f>B425&amp;"|"&amp;C425</f>
        <v>Meghalaya|West Garo Hills</v>
      </c>
      <c r="E425" s="40">
        <v>25.51</v>
      </c>
      <c r="F425" s="40">
        <v>90.22</v>
      </c>
      <c r="G425" s="41">
        <v>0</v>
      </c>
      <c r="H425" s="41">
        <v>0</v>
      </c>
      <c r="I425" s="41">
        <v>2.2370000000000001</v>
      </c>
      <c r="J425" s="41">
        <v>3.3037999999999998</v>
      </c>
      <c r="K425" s="41">
        <v>1.9300000000000001E-2</v>
      </c>
      <c r="L425" s="41">
        <v>2.2000000000000001E-3</v>
      </c>
      <c r="M425" s="41">
        <v>0.77349999999999997</v>
      </c>
      <c r="N425" s="41">
        <v>0</v>
      </c>
      <c r="O425" s="42">
        <f>SUM(G425:N425)</f>
        <v>6.3358000000000008</v>
      </c>
      <c r="P425" s="42">
        <f>SUMPRODUCT(G425:N425,$G$2:$N$2)*1000/Assumptions!$C$15</f>
        <v>1.8805612099706743</v>
      </c>
      <c r="Q425" s="43">
        <f>IF(ISNUMBER(Finder!$G$5),Finder!$D$8*Assumptions!$C$16*2*ASIN(SQRT(SIN(RADIANS(E425-Finder!$G$5)/2)^2+COS(RADIANS(Finder!$G$5))*COS(RADIANS(E425))*SIN(RADIANS(F425-Finder!$G$6)/2)^2)),"")</f>
        <v>1487.2443482187273</v>
      </c>
      <c r="R425" s="39">
        <f>IF(ISNUMBER(Q425),IF(Q425&lt;=Finder!$D$7,1,0),0)</f>
        <v>0</v>
      </c>
      <c r="S425" s="39" t="str">
        <f>IF(R425=1,O425+ROW()*0.000000001,"")</f>
        <v/>
      </c>
      <c r="T425" s="39" t="str">
        <f>IF(O425&gt;0,INDEX(Calc!$B$4:$B$11,MATCH(MAX(G425:N425),G425:N425,0)),"-")</f>
        <v>Mustard Stalk</v>
      </c>
    </row>
    <row r="426" spans="1:20">
      <c r="A426" s="39">
        <v>423</v>
      </c>
      <c r="B426" s="39" t="s">
        <v>490</v>
      </c>
      <c r="C426" s="39" t="s">
        <v>500</v>
      </c>
      <c r="D426" s="39" t="str">
        <f>B426&amp;"|"&amp;C426</f>
        <v>Meghalaya|West Jaintia Hills</v>
      </c>
      <c r="E426" s="40">
        <v>25.45</v>
      </c>
      <c r="F426" s="40">
        <v>92.2</v>
      </c>
      <c r="G426" s="41">
        <v>0</v>
      </c>
      <c r="H426" s="41">
        <v>0</v>
      </c>
      <c r="I426" s="41">
        <v>2.8450000000000002</v>
      </c>
      <c r="J426" s="41">
        <v>4.8399999999999999E-2</v>
      </c>
      <c r="K426" s="41">
        <v>1.6000000000000001E-3</v>
      </c>
      <c r="L426" s="41">
        <v>2.0000000000000001E-4</v>
      </c>
      <c r="M426" s="41">
        <v>0.81110000000000004</v>
      </c>
      <c r="N426" s="41">
        <v>0</v>
      </c>
      <c r="O426" s="42">
        <f>SUM(G426:N426)</f>
        <v>3.7063000000000001</v>
      </c>
      <c r="P426" s="42">
        <f>SUMPRODUCT(G426:N426,$G$2:$N$2)*1000/Assumptions!$C$15</f>
        <v>1.1078460463343109</v>
      </c>
      <c r="Q426" s="43">
        <f>IF(ISNUMBER(Finder!$G$5),Finder!$D$8*Assumptions!$C$16*2*ASIN(SQRT(SIN(RADIANS(E426-Finder!$G$5)/2)^2+COS(RADIANS(Finder!$G$5))*COS(RADIANS(E426))*SIN(RADIANS(F426-Finder!$G$6)/2)^2)),"")</f>
        <v>1677.9074575234613</v>
      </c>
      <c r="R426" s="39">
        <f>IF(ISNUMBER(Q426),IF(Q426&lt;=Finder!$D$7,1,0),0)</f>
        <v>0</v>
      </c>
      <c r="S426" s="39" t="str">
        <f>IF(R426=1,O426+ROW()*0.000000001,"")</f>
        <v/>
      </c>
      <c r="T426" s="39" t="str">
        <f>IF(O426&gt;0,INDEX(Calc!$B$4:$B$11,MATCH(MAX(G426:N426),G426:N426,0)),"-")</f>
        <v>Maize Stover</v>
      </c>
    </row>
    <row r="427" spans="1:20">
      <c r="A427" s="39">
        <v>424</v>
      </c>
      <c r="B427" s="39" t="s">
        <v>490</v>
      </c>
      <c r="C427" s="39" t="s">
        <v>501</v>
      </c>
      <c r="D427" s="39" t="str">
        <f>B427&amp;"|"&amp;C427</f>
        <v>Meghalaya|West Khasi Hills</v>
      </c>
      <c r="E427" s="40">
        <v>25.52</v>
      </c>
      <c r="F427" s="40">
        <v>91.27</v>
      </c>
      <c r="G427" s="41">
        <v>0</v>
      </c>
      <c r="H427" s="41">
        <v>0</v>
      </c>
      <c r="I427" s="41">
        <v>3.1783999999999999</v>
      </c>
      <c r="J427" s="41">
        <v>2.2700000000000001E-2</v>
      </c>
      <c r="K427" s="41">
        <v>0</v>
      </c>
      <c r="L427" s="41">
        <v>0</v>
      </c>
      <c r="M427" s="41">
        <v>4.99E-2</v>
      </c>
      <c r="N427" s="41">
        <v>0</v>
      </c>
      <c r="O427" s="42">
        <f>SUM(G427:N427)</f>
        <v>3.2509999999999999</v>
      </c>
      <c r="P427" s="42">
        <f>SUMPRODUCT(G427:N427,$G$2:$N$2)*1000/Assumptions!$C$15</f>
        <v>0.95746328211143694</v>
      </c>
      <c r="Q427" s="43">
        <f>IF(ISNUMBER(Finder!$G$5),Finder!$D$8*Assumptions!$C$16*2*ASIN(SQRT(SIN(RADIANS(E427-Finder!$G$5)/2)^2+COS(RADIANS(Finder!$G$5))*COS(RADIANS(E427))*SIN(RADIANS(F427-Finder!$G$6)/2)^2)),"")</f>
        <v>1586.7405413563847</v>
      </c>
      <c r="R427" s="39">
        <f>IF(ISNUMBER(Q427),IF(Q427&lt;=Finder!$D$7,1,0),0)</f>
        <v>0</v>
      </c>
      <c r="S427" s="39" t="str">
        <f>IF(R427=1,O427+ROW()*0.000000001,"")</f>
        <v/>
      </c>
      <c r="T427" s="39" t="str">
        <f>IF(O427&gt;0,INDEX(Calc!$B$4:$B$11,MATCH(MAX(G427:N427),G427:N427,0)),"-")</f>
        <v>Maize Stover</v>
      </c>
    </row>
    <row r="428" spans="1:20">
      <c r="A428" s="39">
        <v>425</v>
      </c>
      <c r="B428" s="39" t="s">
        <v>502</v>
      </c>
      <c r="C428" s="39" t="s">
        <v>503</v>
      </c>
      <c r="D428" s="39" t="str">
        <f>B428&amp;"|"&amp;C428</f>
        <v>Mizoram|Aizawl</v>
      </c>
      <c r="E428" s="40">
        <v>23.73</v>
      </c>
      <c r="F428" s="40">
        <v>92.72</v>
      </c>
      <c r="G428" s="41">
        <v>0.84</v>
      </c>
      <c r="H428" s="41">
        <v>0</v>
      </c>
      <c r="I428" s="41">
        <v>3.4723999999999999</v>
      </c>
      <c r="J428" s="41">
        <v>0</v>
      </c>
      <c r="K428" s="41">
        <v>1.7379</v>
      </c>
      <c r="L428" s="41">
        <v>0.20280000000000001</v>
      </c>
      <c r="M428" s="41">
        <v>0.189</v>
      </c>
      <c r="N428" s="41">
        <v>0</v>
      </c>
      <c r="O428" s="42">
        <f>SUM(G428:N428)</f>
        <v>6.4420999999999999</v>
      </c>
      <c r="P428" s="42">
        <f>SUMPRODUCT(G428:N428,$G$2:$N$2)*1000/Assumptions!$C$15</f>
        <v>1.9565899014662758</v>
      </c>
      <c r="Q428" s="43">
        <f>IF(ISNUMBER(Finder!$G$5),Finder!$D$8*Assumptions!$C$16*2*ASIN(SQRT(SIN(RADIANS(E428-Finder!$G$5)/2)^2+COS(RADIANS(Finder!$G$5))*COS(RADIANS(E428))*SIN(RADIANS(F428-Finder!$G$6)/2)^2)),"")</f>
        <v>1794.4786533668037</v>
      </c>
      <c r="R428" s="39">
        <f>IF(ISNUMBER(Q428),IF(Q428&lt;=Finder!$D$7,1,0),0)</f>
        <v>0</v>
      </c>
      <c r="S428" s="39" t="str">
        <f>IF(R428=1,O428+ROW()*0.000000001,"")</f>
        <v/>
      </c>
      <c r="T428" s="39" t="str">
        <f>IF(O428&gt;0,INDEX(Calc!$B$4:$B$11,MATCH(MAX(G428:N428),G428:N428,0)),"-")</f>
        <v>Maize Stover</v>
      </c>
    </row>
    <row r="429" spans="1:20">
      <c r="A429" s="39">
        <v>426</v>
      </c>
      <c r="B429" s="39" t="s">
        <v>502</v>
      </c>
      <c r="C429" s="39" t="s">
        <v>504</v>
      </c>
      <c r="D429" s="39" t="str">
        <f>B429&amp;"|"&amp;C429</f>
        <v>Mizoram|Champhai</v>
      </c>
      <c r="E429" s="40">
        <v>23.47</v>
      </c>
      <c r="F429" s="40">
        <v>93.33</v>
      </c>
      <c r="G429" s="41">
        <v>0.84</v>
      </c>
      <c r="H429" s="41">
        <v>0</v>
      </c>
      <c r="I429" s="41">
        <v>0.82950000000000002</v>
      </c>
      <c r="J429" s="41">
        <v>1.23E-2</v>
      </c>
      <c r="K429" s="41">
        <v>0.43919999999999998</v>
      </c>
      <c r="L429" s="41">
        <v>5.1200000000000002E-2</v>
      </c>
      <c r="M429" s="41">
        <v>3.85E-2</v>
      </c>
      <c r="N429" s="41">
        <v>0</v>
      </c>
      <c r="O429" s="42">
        <f>SUM(G429:N429)</f>
        <v>2.2107000000000001</v>
      </c>
      <c r="P429" s="42">
        <f>SUMPRODUCT(G429:N429,$G$2:$N$2)*1000/Assumptions!$C$15</f>
        <v>0.71111329384164212</v>
      </c>
      <c r="Q429" s="43">
        <f>IF(ISNUMBER(Finder!$G$5),Finder!$D$8*Assumptions!$C$16*2*ASIN(SQRT(SIN(RADIANS(E429-Finder!$G$5)/2)^2+COS(RADIANS(Finder!$G$5))*COS(RADIANS(E429))*SIN(RADIANS(F429-Finder!$G$6)/2)^2)),"")</f>
        <v>1863.0048725244385</v>
      </c>
      <c r="R429" s="39">
        <f>IF(ISNUMBER(Q429),IF(Q429&lt;=Finder!$D$7,1,0),0)</f>
        <v>0</v>
      </c>
      <c r="S429" s="39" t="str">
        <f>IF(R429=1,O429+ROW()*0.000000001,"")</f>
        <v/>
      </c>
      <c r="T429" s="39" t="str">
        <f>IF(O429&gt;0,INDEX(Calc!$B$4:$B$11,MATCH(MAX(G429:N429),G429:N429,0)),"-")</f>
        <v>Paddy Straw</v>
      </c>
    </row>
    <row r="430" spans="1:20">
      <c r="A430" s="39">
        <v>427</v>
      </c>
      <c r="B430" s="39" t="s">
        <v>502</v>
      </c>
      <c r="C430" s="39" t="s">
        <v>505</v>
      </c>
      <c r="D430" s="39" t="str">
        <f>B430&amp;"|"&amp;C430</f>
        <v>Mizoram|Hnahthial</v>
      </c>
      <c r="E430" s="40">
        <v>22.97</v>
      </c>
      <c r="F430" s="40">
        <v>92.93</v>
      </c>
      <c r="G430" s="41">
        <v>0.42</v>
      </c>
      <c r="H430" s="41">
        <v>0</v>
      </c>
      <c r="I430" s="41">
        <v>0.1444</v>
      </c>
      <c r="J430" s="41">
        <v>3.7000000000000002E-3</v>
      </c>
      <c r="K430" s="41">
        <v>3.0099999999999998E-2</v>
      </c>
      <c r="L430" s="41">
        <v>3.5000000000000001E-3</v>
      </c>
      <c r="M430" s="41">
        <v>2.8000000000000001E-2</v>
      </c>
      <c r="N430" s="41">
        <v>0</v>
      </c>
      <c r="O430" s="42">
        <f>SUM(G430:N430)</f>
        <v>0.62970000000000004</v>
      </c>
      <c r="P430" s="42">
        <f>SUMPRODUCT(G430:N430,$G$2:$N$2)*1000/Assumptions!$C$15</f>
        <v>0.21619039442815244</v>
      </c>
      <c r="Q430" s="43">
        <f>IF(ISNUMBER(Finder!$G$5),Finder!$D$8*Assumptions!$C$16*2*ASIN(SQRT(SIN(RADIANS(E430-Finder!$G$5)/2)^2+COS(RADIANS(Finder!$G$5))*COS(RADIANS(E430))*SIN(RADIANS(F430-Finder!$G$6)/2)^2)),"")</f>
        <v>1848.8688092017314</v>
      </c>
      <c r="R430" s="39">
        <f>IF(ISNUMBER(Q430),IF(Q430&lt;=Finder!$D$7,1,0),0)</f>
        <v>0</v>
      </c>
      <c r="S430" s="39" t="str">
        <f>IF(R430=1,O430+ROW()*0.000000001,"")</f>
        <v/>
      </c>
      <c r="T430" s="39" t="str">
        <f>IF(O430&gt;0,INDEX(Calc!$B$4:$B$11,MATCH(MAX(G430:N430),G430:N430,0)),"-")</f>
        <v>Paddy Straw</v>
      </c>
    </row>
    <row r="431" spans="1:20">
      <c r="A431" s="39">
        <v>428</v>
      </c>
      <c r="B431" s="39" t="s">
        <v>502</v>
      </c>
      <c r="C431" s="39" t="s">
        <v>506</v>
      </c>
      <c r="D431" s="39" t="str">
        <f>B431&amp;"|"&amp;C431</f>
        <v>Mizoram|Khawzawl</v>
      </c>
      <c r="E431" s="40">
        <v>23.53</v>
      </c>
      <c r="F431" s="40">
        <v>93.18</v>
      </c>
      <c r="G431" s="41">
        <v>0.42</v>
      </c>
      <c r="H431" s="41">
        <v>0</v>
      </c>
      <c r="I431" s="41">
        <v>0.56910000000000005</v>
      </c>
      <c r="J431" s="41">
        <v>8.6E-3</v>
      </c>
      <c r="K431" s="41">
        <v>6.4799999999999996E-2</v>
      </c>
      <c r="L431" s="41">
        <v>7.6E-3</v>
      </c>
      <c r="M431" s="41">
        <v>0.62819999999999998</v>
      </c>
      <c r="N431" s="41">
        <v>0</v>
      </c>
      <c r="O431" s="42">
        <f>SUM(G431:N431)</f>
        <v>1.6983000000000001</v>
      </c>
      <c r="P431" s="42">
        <f>SUMPRODUCT(G431:N431,$G$2:$N$2)*1000/Assumptions!$C$15</f>
        <v>0.54344412903225814</v>
      </c>
      <c r="Q431" s="43">
        <f>IF(ISNUMBER(Finder!$G$5),Finder!$D$8*Assumptions!$C$16*2*ASIN(SQRT(SIN(RADIANS(E431-Finder!$G$5)/2)^2+COS(RADIANS(Finder!$G$5))*COS(RADIANS(E431))*SIN(RADIANS(F431-Finder!$G$6)/2)^2)),"")</f>
        <v>1846.3173060878605</v>
      </c>
      <c r="R431" s="39">
        <f>IF(ISNUMBER(Q431),IF(Q431&lt;=Finder!$D$7,1,0),0)</f>
        <v>0</v>
      </c>
      <c r="S431" s="39" t="str">
        <f>IF(R431=1,O431+ROW()*0.000000001,"")</f>
        <v/>
      </c>
      <c r="T431" s="39" t="str">
        <f>IF(O431&gt;0,INDEX(Calc!$B$4:$B$11,MATCH(MAX(G431:N431),G431:N431,0)),"-")</f>
        <v>Soya Trash</v>
      </c>
    </row>
    <row r="432" spans="1:20">
      <c r="A432" s="39">
        <v>429</v>
      </c>
      <c r="B432" s="39" t="s">
        <v>502</v>
      </c>
      <c r="C432" s="39" t="s">
        <v>507</v>
      </c>
      <c r="D432" s="39" t="str">
        <f>B432&amp;"|"&amp;C432</f>
        <v>Mizoram|Kolasib</v>
      </c>
      <c r="E432" s="40">
        <v>24.22</v>
      </c>
      <c r="F432" s="40">
        <v>92.68</v>
      </c>
      <c r="G432" s="41">
        <v>0.84</v>
      </c>
      <c r="H432" s="41">
        <v>0</v>
      </c>
      <c r="I432" s="41">
        <v>1.3828</v>
      </c>
      <c r="J432" s="41">
        <v>0.17030000000000001</v>
      </c>
      <c r="K432" s="41">
        <v>0.67949999999999999</v>
      </c>
      <c r="L432" s="41">
        <v>7.9299999999999995E-2</v>
      </c>
      <c r="M432" s="41">
        <v>0.2301</v>
      </c>
      <c r="N432" s="41">
        <v>0</v>
      </c>
      <c r="O432" s="42">
        <f>SUM(G432:N432)</f>
        <v>3.3820000000000001</v>
      </c>
      <c r="P432" s="42">
        <f>SUMPRODUCT(G432:N432,$G$2:$N$2)*1000/Assumptions!$C$15</f>
        <v>1.0593430436950146</v>
      </c>
      <c r="Q432" s="43">
        <f>IF(ISNUMBER(Finder!$G$5),Finder!$D$8*Assumptions!$C$16*2*ASIN(SQRT(SIN(RADIANS(E432-Finder!$G$5)/2)^2+COS(RADIANS(Finder!$G$5))*COS(RADIANS(E432))*SIN(RADIANS(F432-Finder!$G$6)/2)^2)),"")</f>
        <v>1769.8718492261191</v>
      </c>
      <c r="R432" s="39">
        <f>IF(ISNUMBER(Q432),IF(Q432&lt;=Finder!$D$7,1,0),0)</f>
        <v>0</v>
      </c>
      <c r="S432" s="39" t="str">
        <f>IF(R432=1,O432+ROW()*0.000000001,"")</f>
        <v/>
      </c>
      <c r="T432" s="39" t="str">
        <f>IF(O432&gt;0,INDEX(Calc!$B$4:$B$11,MATCH(MAX(G432:N432),G432:N432,0)),"-")</f>
        <v>Maize Stover</v>
      </c>
    </row>
    <row r="433" spans="1:20">
      <c r="A433" s="39">
        <v>430</v>
      </c>
      <c r="B433" s="39" t="s">
        <v>502</v>
      </c>
      <c r="C433" s="39" t="s">
        <v>508</v>
      </c>
      <c r="D433" s="39" t="str">
        <f>B433&amp;"|"&amp;C433</f>
        <v>Mizoram|Lawngtlai</v>
      </c>
      <c r="E433" s="40">
        <v>22.53</v>
      </c>
      <c r="F433" s="40">
        <v>92.9</v>
      </c>
      <c r="G433" s="41">
        <v>1.26</v>
      </c>
      <c r="H433" s="41">
        <v>0</v>
      </c>
      <c r="I433" s="41">
        <v>2.4003000000000001</v>
      </c>
      <c r="J433" s="41">
        <v>3.1800000000000002E-2</v>
      </c>
      <c r="K433" s="41">
        <v>0.44390000000000002</v>
      </c>
      <c r="L433" s="41">
        <v>5.1799999999999999E-2</v>
      </c>
      <c r="M433" s="41">
        <v>1.2189000000000001</v>
      </c>
      <c r="N433" s="41">
        <v>0</v>
      </c>
      <c r="O433" s="42">
        <f>SUM(G433:N433)</f>
        <v>5.4067000000000007</v>
      </c>
      <c r="P433" s="42">
        <f>SUMPRODUCT(G433:N433,$G$2:$N$2)*1000/Assumptions!$C$15</f>
        <v>1.7072014199413492</v>
      </c>
      <c r="Q433" s="43">
        <f>IF(ISNUMBER(Finder!$G$5),Finder!$D$8*Assumptions!$C$16*2*ASIN(SQRT(SIN(RADIANS(E433-Finder!$G$5)/2)^2+COS(RADIANS(Finder!$G$5))*COS(RADIANS(E433))*SIN(RADIANS(F433-Finder!$G$6)/2)^2)),"")</f>
        <v>1867.6407747521735</v>
      </c>
      <c r="R433" s="39">
        <f>IF(ISNUMBER(Q433),IF(Q433&lt;=Finder!$D$7,1,0),0)</f>
        <v>0</v>
      </c>
      <c r="S433" s="39" t="str">
        <f>IF(R433=1,O433+ROW()*0.000000001,"")</f>
        <v/>
      </c>
      <c r="T433" s="39" t="str">
        <f>IF(O433&gt;0,INDEX(Calc!$B$4:$B$11,MATCH(MAX(G433:N433),G433:N433,0)),"-")</f>
        <v>Maize Stover</v>
      </c>
    </row>
    <row r="434" spans="1:20">
      <c r="A434" s="39">
        <v>431</v>
      </c>
      <c r="B434" s="39" t="s">
        <v>502</v>
      </c>
      <c r="C434" s="39" t="s">
        <v>509</v>
      </c>
      <c r="D434" s="39" t="str">
        <f>B434&amp;"|"&amp;C434</f>
        <v>Mizoram|Lunglei</v>
      </c>
      <c r="E434" s="40">
        <v>22.89</v>
      </c>
      <c r="F434" s="40">
        <v>92.74</v>
      </c>
      <c r="G434" s="41">
        <v>0.84</v>
      </c>
      <c r="H434" s="41">
        <v>0</v>
      </c>
      <c r="I434" s="41">
        <v>1.3030999999999999</v>
      </c>
      <c r="J434" s="41">
        <v>3.0999999999999999E-3</v>
      </c>
      <c r="K434" s="41">
        <v>0.17949999999999999</v>
      </c>
      <c r="L434" s="41">
        <v>2.0899999999999998E-2</v>
      </c>
      <c r="M434" s="41">
        <v>5.4199999999999998E-2</v>
      </c>
      <c r="N434" s="41">
        <v>0</v>
      </c>
      <c r="O434" s="42">
        <f>SUM(G434:N434)</f>
        <v>2.4007999999999998</v>
      </c>
      <c r="P434" s="42">
        <f>SUMPRODUCT(G434:N434,$G$2:$N$2)*1000/Assumptions!$C$15</f>
        <v>0.76788895806451618</v>
      </c>
      <c r="Q434" s="43">
        <f>IF(ISNUMBER(Finder!$G$5),Finder!$D$8*Assumptions!$C$16*2*ASIN(SQRT(SIN(RADIANS(E434-Finder!$G$5)/2)^2+COS(RADIANS(Finder!$G$5))*COS(RADIANS(E434))*SIN(RADIANS(F434-Finder!$G$6)/2)^2)),"")</f>
        <v>1835.1792359421772</v>
      </c>
      <c r="R434" s="39">
        <f>IF(ISNUMBER(Q434),IF(Q434&lt;=Finder!$D$7,1,0),0)</f>
        <v>0</v>
      </c>
      <c r="S434" s="39" t="str">
        <f>IF(R434=1,O434+ROW()*0.000000001,"")</f>
        <v/>
      </c>
      <c r="T434" s="39" t="str">
        <f>IF(O434&gt;0,INDEX(Calc!$B$4:$B$11,MATCH(MAX(G434:N434),G434:N434,0)),"-")</f>
        <v>Maize Stover</v>
      </c>
    </row>
    <row r="435" spans="1:20">
      <c r="A435" s="39">
        <v>432</v>
      </c>
      <c r="B435" s="39" t="s">
        <v>502</v>
      </c>
      <c r="C435" s="39" t="s">
        <v>510</v>
      </c>
      <c r="D435" s="39" t="str">
        <f>B435&amp;"|"&amp;C435</f>
        <v>Mizoram|Mamit</v>
      </c>
      <c r="E435" s="40">
        <v>23.93</v>
      </c>
      <c r="F435" s="40">
        <v>92.49</v>
      </c>
      <c r="G435" s="41">
        <v>1.26</v>
      </c>
      <c r="H435" s="41">
        <v>0</v>
      </c>
      <c r="I435" s="41">
        <v>1.9382999999999999</v>
      </c>
      <c r="J435" s="41">
        <v>1.8E-3</v>
      </c>
      <c r="K435" s="41">
        <v>0.40949999999999998</v>
      </c>
      <c r="L435" s="41">
        <v>4.7800000000000002E-2</v>
      </c>
      <c r="M435" s="41">
        <v>4.2000000000000003E-2</v>
      </c>
      <c r="N435" s="41">
        <v>0</v>
      </c>
      <c r="O435" s="42">
        <f>SUM(G435:N435)</f>
        <v>3.6993999999999994</v>
      </c>
      <c r="P435" s="42">
        <f>SUMPRODUCT(G435:N435,$G$2:$N$2)*1000/Assumptions!$C$15</f>
        <v>1.1795809824046919</v>
      </c>
      <c r="Q435" s="43">
        <f>IF(ISNUMBER(Finder!$G$5),Finder!$D$8*Assumptions!$C$16*2*ASIN(SQRT(SIN(RADIANS(E435-Finder!$G$5)/2)^2+COS(RADIANS(Finder!$G$5))*COS(RADIANS(E435))*SIN(RADIANS(F435-Finder!$G$6)/2)^2)),"")</f>
        <v>1764.2449802037015</v>
      </c>
      <c r="R435" s="39">
        <f>IF(ISNUMBER(Q435),IF(Q435&lt;=Finder!$D$7,1,0),0)</f>
        <v>0</v>
      </c>
      <c r="S435" s="39" t="str">
        <f>IF(R435=1,O435+ROW()*0.000000001,"")</f>
        <v/>
      </c>
      <c r="T435" s="39" t="str">
        <f>IF(O435&gt;0,INDEX(Calc!$B$4:$B$11,MATCH(MAX(G435:N435),G435:N435,0)),"-")</f>
        <v>Maize Stover</v>
      </c>
    </row>
    <row r="436" spans="1:20">
      <c r="A436" s="39">
        <v>433</v>
      </c>
      <c r="B436" s="39" t="s">
        <v>502</v>
      </c>
      <c r="C436" s="39" t="s">
        <v>511</v>
      </c>
      <c r="D436" s="39" t="str">
        <f>B436&amp;"|"&amp;C436</f>
        <v>Mizoram|Saitual</v>
      </c>
      <c r="E436" s="40">
        <v>23.7</v>
      </c>
      <c r="F436" s="40">
        <v>92.97</v>
      </c>
      <c r="G436" s="41">
        <v>0.84</v>
      </c>
      <c r="H436" s="41">
        <v>0</v>
      </c>
      <c r="I436" s="41">
        <v>1.4049</v>
      </c>
      <c r="J436" s="41">
        <v>2.3999999999999998E-3</v>
      </c>
      <c r="K436" s="41">
        <v>0.1361</v>
      </c>
      <c r="L436" s="41">
        <v>1.5900000000000001E-2</v>
      </c>
      <c r="M436" s="41">
        <v>0.13300000000000001</v>
      </c>
      <c r="N436" s="41">
        <v>0</v>
      </c>
      <c r="O436" s="42">
        <f>SUM(G436:N436)</f>
        <v>2.5322999999999998</v>
      </c>
      <c r="P436" s="42">
        <f>SUMPRODUCT(G436:N436,$G$2:$N$2)*1000/Assumptions!$C$15</f>
        <v>0.80835098211143697</v>
      </c>
      <c r="Q436" s="43">
        <f>IF(ISNUMBER(Finder!$G$5),Finder!$D$8*Assumptions!$C$16*2*ASIN(SQRT(SIN(RADIANS(E436-Finder!$G$5)/2)^2+COS(RADIANS(Finder!$G$5))*COS(RADIANS(E436))*SIN(RADIANS(F436-Finder!$G$6)/2)^2)),"")</f>
        <v>1819.1844033634513</v>
      </c>
      <c r="R436" s="39">
        <f>IF(ISNUMBER(Q436),IF(Q436&lt;=Finder!$D$7,1,0),0)</f>
        <v>0</v>
      </c>
      <c r="S436" s="39" t="str">
        <f>IF(R436=1,O436+ROW()*0.000000001,"")</f>
        <v/>
      </c>
      <c r="T436" s="39" t="str">
        <f>IF(O436&gt;0,INDEX(Calc!$B$4:$B$11,MATCH(MAX(G436:N436),G436:N436,0)),"-")</f>
        <v>Maize Stover</v>
      </c>
    </row>
    <row r="437" spans="1:20">
      <c r="A437" s="39">
        <v>434</v>
      </c>
      <c r="B437" s="39" t="s">
        <v>502</v>
      </c>
      <c r="C437" s="39" t="s">
        <v>512</v>
      </c>
      <c r="D437" s="39" t="str">
        <f>B437&amp;"|"&amp;C437</f>
        <v>Mizoram|Serchhip</v>
      </c>
      <c r="E437" s="40">
        <v>23.3</v>
      </c>
      <c r="F437" s="40">
        <v>92.85</v>
      </c>
      <c r="G437" s="41">
        <v>0.84</v>
      </c>
      <c r="H437" s="41">
        <v>0</v>
      </c>
      <c r="I437" s="41">
        <v>1.6600999999999999</v>
      </c>
      <c r="J437" s="41">
        <v>0.109</v>
      </c>
      <c r="K437" s="41">
        <v>3.3264</v>
      </c>
      <c r="L437" s="41">
        <v>0.3881</v>
      </c>
      <c r="M437" s="41">
        <v>0.71309999999999996</v>
      </c>
      <c r="N437" s="41">
        <v>0</v>
      </c>
      <c r="O437" s="42">
        <f>SUM(G437:N437)</f>
        <v>7.0366999999999988</v>
      </c>
      <c r="P437" s="42">
        <f>SUMPRODUCT(G437:N437,$G$2:$N$2)*1000/Assumptions!$C$15</f>
        <v>2.1397062225806454</v>
      </c>
      <c r="Q437" s="43">
        <f>IF(ISNUMBER(Finder!$G$5),Finder!$D$8*Assumptions!$C$16*2*ASIN(SQRT(SIN(RADIANS(E437-Finder!$G$5)/2)^2+COS(RADIANS(Finder!$G$5))*COS(RADIANS(E437))*SIN(RADIANS(F437-Finder!$G$6)/2)^2)),"")</f>
        <v>1825.9615562966469</v>
      </c>
      <c r="R437" s="39">
        <f>IF(ISNUMBER(Q437),IF(Q437&lt;=Finder!$D$7,1,0),0)</f>
        <v>0</v>
      </c>
      <c r="S437" s="39" t="str">
        <f>IF(R437=1,O437+ROW()*0.000000001,"")</f>
        <v/>
      </c>
      <c r="T437" s="39" t="str">
        <f>IF(O437&gt;0,INDEX(Calc!$B$4:$B$11,MATCH(MAX(G437:N437),G437:N437,0)),"-")</f>
        <v>Cane Trash</v>
      </c>
    </row>
    <row r="438" spans="1:20">
      <c r="A438" s="39">
        <v>435</v>
      </c>
      <c r="B438" s="39" t="s">
        <v>502</v>
      </c>
      <c r="C438" s="39" t="s">
        <v>513</v>
      </c>
      <c r="D438" s="39" t="str">
        <f>B438&amp;"|"&amp;C438</f>
        <v>Mizoram|Siaha</v>
      </c>
      <c r="E438" s="40">
        <v>22.49</v>
      </c>
      <c r="F438" s="40">
        <v>92.98</v>
      </c>
      <c r="G438" s="41">
        <v>0.42</v>
      </c>
      <c r="H438" s="41">
        <v>0</v>
      </c>
      <c r="I438" s="41">
        <v>0.28770000000000001</v>
      </c>
      <c r="J438" s="41">
        <v>0</v>
      </c>
      <c r="K438" s="41">
        <v>0</v>
      </c>
      <c r="L438" s="41">
        <v>0</v>
      </c>
      <c r="M438" s="41">
        <v>8.8000000000000005E-3</v>
      </c>
      <c r="N438" s="41">
        <v>0</v>
      </c>
      <c r="O438" s="42">
        <f>SUM(G438:N438)</f>
        <v>0.71650000000000003</v>
      </c>
      <c r="P438" s="42">
        <f>SUMPRODUCT(G438:N438,$G$2:$N$2)*1000/Assumptions!$C$15</f>
        <v>0.2413678369501466</v>
      </c>
      <c r="Q438" s="43">
        <f>IF(ISNUMBER(Finder!$G$5),Finder!$D$8*Assumptions!$C$16*2*ASIN(SQRT(SIN(RADIANS(E438-Finder!$G$5)/2)^2+COS(RADIANS(Finder!$G$5))*COS(RADIANS(E438))*SIN(RADIANS(F438-Finder!$G$6)/2)^2)),"")</f>
        <v>1876.9813476802574</v>
      </c>
      <c r="R438" s="39">
        <f>IF(ISNUMBER(Q438),IF(Q438&lt;=Finder!$D$7,1,0),0)</f>
        <v>0</v>
      </c>
      <c r="S438" s="39" t="str">
        <f>IF(R438=1,O438+ROW()*0.000000001,"")</f>
        <v/>
      </c>
      <c r="T438" s="39" t="str">
        <f>IF(O438&gt;0,INDEX(Calc!$B$4:$B$11,MATCH(MAX(G438:N438),G438:N438,0)),"-")</f>
        <v>Paddy Straw</v>
      </c>
    </row>
    <row r="439" spans="1:20">
      <c r="A439" s="39">
        <v>436</v>
      </c>
      <c r="B439" s="39" t="s">
        <v>514</v>
      </c>
      <c r="C439" s="39" t="s">
        <v>515</v>
      </c>
      <c r="D439" s="39" t="str">
        <f>B439&amp;"|"&amp;C439</f>
        <v>Nagaland|Chumoukedima</v>
      </c>
      <c r="E439" s="40">
        <v>25.79</v>
      </c>
      <c r="F439" s="40">
        <v>93.78</v>
      </c>
      <c r="G439" s="41">
        <v>7.14</v>
      </c>
      <c r="H439" s="41">
        <v>0</v>
      </c>
      <c r="I439" s="41">
        <v>2.6513</v>
      </c>
      <c r="J439" s="41">
        <v>0.373</v>
      </c>
      <c r="K439" s="41">
        <v>2.1591</v>
      </c>
      <c r="L439" s="41">
        <v>0.25190000000000001</v>
      </c>
      <c r="M439" s="41">
        <v>0.74719999999999998</v>
      </c>
      <c r="N439" s="41">
        <v>0</v>
      </c>
      <c r="O439" s="42">
        <f>SUM(G439:N439)</f>
        <v>13.322499999999998</v>
      </c>
      <c r="P439" s="42">
        <f>SUMPRODUCT(G439:N439,$G$2:$N$2)*1000/Assumptions!$C$15</f>
        <v>4.4478621985337234</v>
      </c>
      <c r="Q439" s="43">
        <f>IF(ISNUMBER(Finder!$G$5),Finder!$D$8*Assumptions!$C$16*2*ASIN(SQRT(SIN(RADIANS(E439-Finder!$G$5)/2)^2+COS(RADIANS(Finder!$G$5))*COS(RADIANS(E439))*SIN(RADIANS(F439-Finder!$G$6)/2)^2)),"")</f>
        <v>1818.5113724654743</v>
      </c>
      <c r="R439" s="39">
        <f>IF(ISNUMBER(Q439),IF(Q439&lt;=Finder!$D$7,1,0),0)</f>
        <v>0</v>
      </c>
      <c r="S439" s="39" t="str">
        <f>IF(R439=1,O439+ROW()*0.000000001,"")</f>
        <v/>
      </c>
      <c r="T439" s="39" t="str">
        <f>IF(O439&gt;0,INDEX(Calc!$B$4:$B$11,MATCH(MAX(G439:N439),G439:N439,0)),"-")</f>
        <v>Paddy Straw</v>
      </c>
    </row>
    <row r="440" spans="1:20">
      <c r="A440" s="39">
        <v>437</v>
      </c>
      <c r="B440" s="39" t="s">
        <v>514</v>
      </c>
      <c r="C440" s="39" t="s">
        <v>516</v>
      </c>
      <c r="D440" s="39" t="str">
        <f>B440&amp;"|"&amp;C440</f>
        <v>Nagaland|Dimapur</v>
      </c>
      <c r="E440" s="40">
        <v>25.91</v>
      </c>
      <c r="F440" s="40">
        <v>93.73</v>
      </c>
      <c r="G440" s="41">
        <v>2.52</v>
      </c>
      <c r="H440" s="41">
        <v>0</v>
      </c>
      <c r="I440" s="41">
        <v>1.3072999999999999</v>
      </c>
      <c r="J440" s="41">
        <v>0.14879999999999999</v>
      </c>
      <c r="K440" s="41">
        <v>0.7873</v>
      </c>
      <c r="L440" s="41">
        <v>9.1899999999999996E-2</v>
      </c>
      <c r="M440" s="41">
        <v>0.25640000000000002</v>
      </c>
      <c r="N440" s="41">
        <v>0</v>
      </c>
      <c r="O440" s="42">
        <f>SUM(G440:N440)</f>
        <v>5.1116999999999999</v>
      </c>
      <c r="P440" s="42">
        <f>SUMPRODUCT(G440:N440,$G$2:$N$2)*1000/Assumptions!$C$15</f>
        <v>1.6901265926686215</v>
      </c>
      <c r="Q440" s="43">
        <f>IF(ISNUMBER(Finder!$G$5),Finder!$D$8*Assumptions!$C$16*2*ASIN(SQRT(SIN(RADIANS(E440-Finder!$G$5)/2)^2+COS(RADIANS(Finder!$G$5))*COS(RADIANS(E440))*SIN(RADIANS(F440-Finder!$G$6)/2)^2)),"")</f>
        <v>1810.0732570866032</v>
      </c>
      <c r="R440" s="39">
        <f>IF(ISNUMBER(Q440),IF(Q440&lt;=Finder!$D$7,1,0),0)</f>
        <v>0</v>
      </c>
      <c r="S440" s="39" t="str">
        <f>IF(R440=1,O440+ROW()*0.000000001,"")</f>
        <v/>
      </c>
      <c r="T440" s="39" t="str">
        <f>IF(O440&gt;0,INDEX(Calc!$B$4:$B$11,MATCH(MAX(G440:N440),G440:N440,0)),"-")</f>
        <v>Paddy Straw</v>
      </c>
    </row>
    <row r="441" spans="1:20">
      <c r="A441" s="39">
        <v>438</v>
      </c>
      <c r="B441" s="39" t="s">
        <v>514</v>
      </c>
      <c r="C441" s="39" t="s">
        <v>517</v>
      </c>
      <c r="D441" s="39" t="str">
        <f>B441&amp;"|"&amp;C441</f>
        <v>Nagaland|Kiphire</v>
      </c>
      <c r="E441" s="40">
        <v>25.9</v>
      </c>
      <c r="F441" s="40">
        <v>94.78</v>
      </c>
      <c r="G441" s="41">
        <v>4.62</v>
      </c>
      <c r="H441" s="41">
        <v>0</v>
      </c>
      <c r="I441" s="41">
        <v>10.0306</v>
      </c>
      <c r="J441" s="41">
        <v>0.38529999999999998</v>
      </c>
      <c r="K441" s="41">
        <v>0.40339999999999998</v>
      </c>
      <c r="L441" s="41">
        <v>4.7100000000000003E-2</v>
      </c>
      <c r="M441" s="41">
        <v>1.2434000000000001</v>
      </c>
      <c r="N441" s="41">
        <v>0</v>
      </c>
      <c r="O441" s="42">
        <f>SUM(G441:N441)</f>
        <v>16.729800000000001</v>
      </c>
      <c r="P441" s="42">
        <f>SUMPRODUCT(G441:N441,$G$2:$N$2)*1000/Assumptions!$C$15</f>
        <v>5.2820278032258061</v>
      </c>
      <c r="Q441" s="43">
        <f>IF(ISNUMBER(Finder!$G$5),Finder!$D$8*Assumptions!$C$16*2*ASIN(SQRT(SIN(RADIANS(E441-Finder!$G$5)/2)^2+COS(RADIANS(Finder!$G$5))*COS(RADIANS(E441))*SIN(RADIANS(F441-Finder!$G$6)/2)^2)),"")</f>
        <v>1911.6260403308056</v>
      </c>
      <c r="R441" s="39">
        <f>IF(ISNUMBER(Q441),IF(Q441&lt;=Finder!$D$7,1,0),0)</f>
        <v>0</v>
      </c>
      <c r="S441" s="39" t="str">
        <f>IF(R441=1,O441+ROW()*0.000000001,"")</f>
        <v/>
      </c>
      <c r="T441" s="39" t="str">
        <f>IF(O441&gt;0,INDEX(Calc!$B$4:$B$11,MATCH(MAX(G441:N441),G441:N441,0)),"-")</f>
        <v>Maize Stover</v>
      </c>
    </row>
    <row r="442" spans="1:20">
      <c r="A442" s="39">
        <v>439</v>
      </c>
      <c r="B442" s="39" t="s">
        <v>514</v>
      </c>
      <c r="C442" s="39" t="s">
        <v>518</v>
      </c>
      <c r="D442" s="39" t="str">
        <f>B442&amp;"|"&amp;C442</f>
        <v>Nagaland|Kohima</v>
      </c>
      <c r="E442" s="40">
        <v>25.67</v>
      </c>
      <c r="F442" s="40">
        <v>94.11</v>
      </c>
      <c r="G442" s="41">
        <v>4.62</v>
      </c>
      <c r="H442" s="41">
        <v>0</v>
      </c>
      <c r="I442" s="41">
        <v>1.9303999999999999</v>
      </c>
      <c r="J442" s="41">
        <v>0.40489999999999998</v>
      </c>
      <c r="K442" s="41">
        <v>0.27379999999999999</v>
      </c>
      <c r="L442" s="41">
        <v>3.1899999999999998E-2</v>
      </c>
      <c r="M442" s="41">
        <v>0.29310000000000003</v>
      </c>
      <c r="N442" s="41">
        <v>0</v>
      </c>
      <c r="O442" s="42">
        <f>SUM(G442:N442)</f>
        <v>7.5540999999999991</v>
      </c>
      <c r="P442" s="42">
        <f>SUMPRODUCT(G442:N442,$G$2:$N$2)*1000/Assumptions!$C$15</f>
        <v>2.5624401586510261</v>
      </c>
      <c r="Q442" s="43">
        <f>IF(ISNUMBER(Finder!$G$5),Finder!$D$8*Assumptions!$C$16*2*ASIN(SQRT(SIN(RADIANS(E442-Finder!$G$5)/2)^2+COS(RADIANS(Finder!$G$5))*COS(RADIANS(E442))*SIN(RADIANS(F442-Finder!$G$6)/2)^2)),"")</f>
        <v>1853.9692024124558</v>
      </c>
      <c r="R442" s="39">
        <f>IF(ISNUMBER(Q442),IF(Q442&lt;=Finder!$D$7,1,0),0)</f>
        <v>0</v>
      </c>
      <c r="S442" s="39" t="str">
        <f>IF(R442=1,O442+ROW()*0.000000001,"")</f>
        <v/>
      </c>
      <c r="T442" s="39" t="str">
        <f>IF(O442&gt;0,INDEX(Calc!$B$4:$B$11,MATCH(MAX(G442:N442),G442:N442,0)),"-")</f>
        <v>Paddy Straw</v>
      </c>
    </row>
    <row r="443" spans="1:20">
      <c r="A443" s="39">
        <v>440</v>
      </c>
      <c r="B443" s="39" t="s">
        <v>514</v>
      </c>
      <c r="C443" s="39" t="s">
        <v>519</v>
      </c>
      <c r="D443" s="39" t="str">
        <f>B443&amp;"|"&amp;C443</f>
        <v>Nagaland|Longleng</v>
      </c>
      <c r="E443" s="40">
        <v>26.49</v>
      </c>
      <c r="F443" s="40">
        <v>94.83</v>
      </c>
      <c r="G443" s="41">
        <v>3.36</v>
      </c>
      <c r="H443" s="41">
        <v>0</v>
      </c>
      <c r="I443" s="41">
        <v>1.9623999999999999</v>
      </c>
      <c r="J443" s="41">
        <v>0.30809999999999998</v>
      </c>
      <c r="K443" s="41">
        <v>0.24909999999999999</v>
      </c>
      <c r="L443" s="41">
        <v>2.9100000000000001E-2</v>
      </c>
      <c r="M443" s="41">
        <v>0.51359999999999995</v>
      </c>
      <c r="N443" s="41">
        <v>0</v>
      </c>
      <c r="O443" s="42">
        <f>SUM(G443:N443)</f>
        <v>6.4222999999999999</v>
      </c>
      <c r="P443" s="42">
        <f>SUMPRODUCT(G443:N443,$G$2:$N$2)*1000/Assumptions!$C$15</f>
        <v>2.1430946454545454</v>
      </c>
      <c r="Q443" s="43">
        <f>IF(ISNUMBER(Finder!$G$5),Finder!$D$8*Assumptions!$C$16*2*ASIN(SQRT(SIN(RADIANS(E443-Finder!$G$5)/2)^2+COS(RADIANS(Finder!$G$5))*COS(RADIANS(E443))*SIN(RADIANS(F443-Finder!$G$6)/2)^2)),"")</f>
        <v>1900.2671833398288</v>
      </c>
      <c r="R443" s="39">
        <f>IF(ISNUMBER(Q443),IF(Q443&lt;=Finder!$D$7,1,0),0)</f>
        <v>0</v>
      </c>
      <c r="S443" s="39" t="str">
        <f>IF(R443=1,O443+ROW()*0.000000001,"")</f>
        <v/>
      </c>
      <c r="T443" s="39" t="str">
        <f>IF(O443&gt;0,INDEX(Calc!$B$4:$B$11,MATCH(MAX(G443:N443),G443:N443,0)),"-")</f>
        <v>Paddy Straw</v>
      </c>
    </row>
    <row r="444" spans="1:20">
      <c r="A444" s="39">
        <v>441</v>
      </c>
      <c r="B444" s="39" t="s">
        <v>514</v>
      </c>
      <c r="C444" s="39" t="s">
        <v>520</v>
      </c>
      <c r="D444" s="39" t="str">
        <f>B444&amp;"|"&amp;C444</f>
        <v>Nagaland|Mokokchung</v>
      </c>
      <c r="E444" s="40">
        <v>26.32</v>
      </c>
      <c r="F444" s="40">
        <v>94.52</v>
      </c>
      <c r="G444" s="41">
        <v>6.72</v>
      </c>
      <c r="H444" s="41">
        <v>0</v>
      </c>
      <c r="I444" s="41">
        <v>5.8106999999999998</v>
      </c>
      <c r="J444" s="41">
        <v>1.0584</v>
      </c>
      <c r="K444" s="41">
        <v>1.2496</v>
      </c>
      <c r="L444" s="41">
        <v>0.14580000000000001</v>
      </c>
      <c r="M444" s="41">
        <v>0.48299999999999998</v>
      </c>
      <c r="N444" s="41">
        <v>0</v>
      </c>
      <c r="O444" s="42">
        <f>SUM(G444:N444)</f>
        <v>15.467499999999999</v>
      </c>
      <c r="P444" s="42">
        <f>SUMPRODUCT(G444:N444,$G$2:$N$2)*1000/Assumptions!$C$15</f>
        <v>5.0445694410557183</v>
      </c>
      <c r="Q444" s="43">
        <f>IF(ISNUMBER(Finder!$G$5),Finder!$D$8*Assumptions!$C$16*2*ASIN(SQRT(SIN(RADIANS(E444-Finder!$G$5)/2)^2+COS(RADIANS(Finder!$G$5))*COS(RADIANS(E444))*SIN(RADIANS(F444-Finder!$G$6)/2)^2)),"")</f>
        <v>1874.731490250638</v>
      </c>
      <c r="R444" s="39">
        <f>IF(ISNUMBER(Q444),IF(Q444&lt;=Finder!$D$7,1,0),0)</f>
        <v>0</v>
      </c>
      <c r="S444" s="39" t="str">
        <f>IF(R444=1,O444+ROW()*0.000000001,"")</f>
        <v/>
      </c>
      <c r="T444" s="39" t="str">
        <f>IF(O444&gt;0,INDEX(Calc!$B$4:$B$11,MATCH(MAX(G444:N444),G444:N444,0)),"-")</f>
        <v>Paddy Straw</v>
      </c>
    </row>
    <row r="445" spans="1:20">
      <c r="A445" s="39">
        <v>442</v>
      </c>
      <c r="B445" s="39" t="s">
        <v>514</v>
      </c>
      <c r="C445" s="39" t="s">
        <v>521</v>
      </c>
      <c r="D445" s="39" t="str">
        <f>B445&amp;"|"&amp;C445</f>
        <v>Nagaland|Mon</v>
      </c>
      <c r="E445" s="40">
        <v>26.73</v>
      </c>
      <c r="F445" s="40">
        <v>95</v>
      </c>
      <c r="G445" s="41">
        <v>9.24</v>
      </c>
      <c r="H445" s="41">
        <v>0</v>
      </c>
      <c r="I445" s="41">
        <v>8.1018000000000008</v>
      </c>
      <c r="J445" s="41">
        <v>1.2262</v>
      </c>
      <c r="K445" s="41">
        <v>1.6515</v>
      </c>
      <c r="L445" s="41">
        <v>0.19270000000000001</v>
      </c>
      <c r="M445" s="41">
        <v>2.4018999999999999</v>
      </c>
      <c r="N445" s="41">
        <v>0</v>
      </c>
      <c r="O445" s="42">
        <f>SUM(G445:N445)</f>
        <v>22.814099999999996</v>
      </c>
      <c r="P445" s="42">
        <f>SUMPRODUCT(G445:N445,$G$2:$N$2)*1000/Assumptions!$C$15</f>
        <v>7.4288511956011725</v>
      </c>
      <c r="Q445" s="43">
        <f>IF(ISNUMBER(Finder!$G$5),Finder!$D$8*Assumptions!$C$16*2*ASIN(SQRT(SIN(RADIANS(E445-Finder!$G$5)/2)^2+COS(RADIANS(Finder!$G$5))*COS(RADIANS(E445))*SIN(RADIANS(F445-Finder!$G$6)/2)^2)),"")</f>
        <v>1910.7537213550065</v>
      </c>
      <c r="R445" s="39">
        <f>IF(ISNUMBER(Q445),IF(Q445&lt;=Finder!$D$7,1,0),0)</f>
        <v>0</v>
      </c>
      <c r="S445" s="39" t="str">
        <f>IF(R445=1,O445+ROW()*0.000000001,"")</f>
        <v/>
      </c>
      <c r="T445" s="39" t="str">
        <f>IF(O445&gt;0,INDEX(Calc!$B$4:$B$11,MATCH(MAX(G445:N445),G445:N445,0)),"-")</f>
        <v>Paddy Straw</v>
      </c>
    </row>
    <row r="446" spans="1:20">
      <c r="A446" s="39">
        <v>443</v>
      </c>
      <c r="B446" s="39" t="s">
        <v>514</v>
      </c>
      <c r="C446" s="39" t="s">
        <v>522</v>
      </c>
      <c r="D446" s="39" t="str">
        <f>B446&amp;"|"&amp;C446</f>
        <v>Nagaland|Niuland</v>
      </c>
      <c r="E446" s="40">
        <v>25.83</v>
      </c>
      <c r="F446" s="40">
        <v>93.93</v>
      </c>
      <c r="G446" s="41">
        <v>7.14</v>
      </c>
      <c r="H446" s="41">
        <v>0</v>
      </c>
      <c r="I446" s="41">
        <v>5.9356</v>
      </c>
      <c r="J446" s="41">
        <v>0.96840000000000004</v>
      </c>
      <c r="K446" s="41">
        <v>4.2446000000000002</v>
      </c>
      <c r="L446" s="41">
        <v>0.49519999999999997</v>
      </c>
      <c r="M446" s="41">
        <v>1.1305000000000001</v>
      </c>
      <c r="N446" s="41">
        <v>0</v>
      </c>
      <c r="O446" s="42">
        <f>SUM(G446:N446)</f>
        <v>19.914300000000004</v>
      </c>
      <c r="P446" s="42">
        <f>SUMPRODUCT(G446:N446,$G$2:$N$2)*1000/Assumptions!$C$15</f>
        <v>6.391220346041055</v>
      </c>
      <c r="Q446" s="43">
        <f>IF(ISNUMBER(Finder!$G$5),Finder!$D$8*Assumptions!$C$16*2*ASIN(SQRT(SIN(RADIANS(E446-Finder!$G$5)/2)^2+COS(RADIANS(Finder!$G$5))*COS(RADIANS(E446))*SIN(RADIANS(F446-Finder!$G$6)/2)^2)),"")</f>
        <v>1831.7418599625767</v>
      </c>
      <c r="R446" s="39">
        <f>IF(ISNUMBER(Q446),IF(Q446&lt;=Finder!$D$7,1,0),0)</f>
        <v>0</v>
      </c>
      <c r="S446" s="39" t="str">
        <f>IF(R446=1,O446+ROW()*0.000000001,"")</f>
        <v/>
      </c>
      <c r="T446" s="39" t="str">
        <f>IF(O446&gt;0,INDEX(Calc!$B$4:$B$11,MATCH(MAX(G446:N446),G446:N446,0)),"-")</f>
        <v>Paddy Straw</v>
      </c>
    </row>
    <row r="447" spans="1:20">
      <c r="A447" s="39">
        <v>444</v>
      </c>
      <c r="B447" s="39" t="s">
        <v>514</v>
      </c>
      <c r="C447" s="39" t="s">
        <v>523</v>
      </c>
      <c r="D447" s="39" t="str">
        <f>B447&amp;"|"&amp;C447</f>
        <v>Nagaland|Noklak</v>
      </c>
      <c r="E447" s="40">
        <v>26.2</v>
      </c>
      <c r="F447" s="40">
        <v>95.02</v>
      </c>
      <c r="G447" s="41">
        <v>2.52</v>
      </c>
      <c r="H447" s="41">
        <v>0</v>
      </c>
      <c r="I447" s="41">
        <v>2.5484</v>
      </c>
      <c r="J447" s="41">
        <v>0.52739999999999998</v>
      </c>
      <c r="K447" s="41">
        <v>0.71730000000000005</v>
      </c>
      <c r="L447" s="41">
        <v>8.3699999999999997E-2</v>
      </c>
      <c r="M447" s="41">
        <v>0.85580000000000001</v>
      </c>
      <c r="N447" s="41">
        <v>0</v>
      </c>
      <c r="O447" s="42">
        <f>SUM(G447:N447)</f>
        <v>7.252600000000001</v>
      </c>
      <c r="P447" s="42">
        <f>SUMPRODUCT(G447:N447,$G$2:$N$2)*1000/Assumptions!$C$15</f>
        <v>2.3330356079178882</v>
      </c>
      <c r="Q447" s="43">
        <f>IF(ISNUMBER(Finder!$G$5),Finder!$D$8*Assumptions!$C$16*2*ASIN(SQRT(SIN(RADIANS(E447-Finder!$G$5)/2)^2+COS(RADIANS(Finder!$G$5))*COS(RADIANS(E447))*SIN(RADIANS(F447-Finder!$G$6)/2)^2)),"")</f>
        <v>1926.3394191684536</v>
      </c>
      <c r="R447" s="39">
        <f>IF(ISNUMBER(Q447),IF(Q447&lt;=Finder!$D$7,1,0),0)</f>
        <v>0</v>
      </c>
      <c r="S447" s="39" t="str">
        <f>IF(R447=1,O447+ROW()*0.000000001,"")</f>
        <v/>
      </c>
      <c r="T447" s="39" t="str">
        <f>IF(O447&gt;0,INDEX(Calc!$B$4:$B$11,MATCH(MAX(G447:N447),G447:N447,0)),"-")</f>
        <v>Maize Stover</v>
      </c>
    </row>
    <row r="448" spans="1:20">
      <c r="A448" s="39">
        <v>445</v>
      </c>
      <c r="B448" s="39" t="s">
        <v>514</v>
      </c>
      <c r="C448" s="39" t="s">
        <v>524</v>
      </c>
      <c r="D448" s="39" t="str">
        <f>B448&amp;"|"&amp;C448</f>
        <v>Nagaland|Peren</v>
      </c>
      <c r="E448" s="40">
        <v>25.51</v>
      </c>
      <c r="F448" s="40">
        <v>93.73</v>
      </c>
      <c r="G448" s="41">
        <v>5.88</v>
      </c>
      <c r="H448" s="41">
        <v>0</v>
      </c>
      <c r="I448" s="41">
        <v>1.9944999999999999</v>
      </c>
      <c r="J448" s="41">
        <v>0.83540000000000003</v>
      </c>
      <c r="K448" s="41">
        <v>2.0952000000000002</v>
      </c>
      <c r="L448" s="41">
        <v>0.24440000000000001</v>
      </c>
      <c r="M448" s="41">
        <v>1.2434000000000001</v>
      </c>
      <c r="N448" s="41">
        <v>0</v>
      </c>
      <c r="O448" s="42">
        <f>SUM(G448:N448)</f>
        <v>12.292899999999999</v>
      </c>
      <c r="P448" s="42">
        <f>SUMPRODUCT(G448:N448,$G$2:$N$2)*1000/Assumptions!$C$15</f>
        <v>4.0646386627565985</v>
      </c>
      <c r="Q448" s="43">
        <f>IF(ISNUMBER(Finder!$G$5),Finder!$D$8*Assumptions!$C$16*2*ASIN(SQRT(SIN(RADIANS(E448-Finder!$G$5)/2)^2+COS(RADIANS(Finder!$G$5))*COS(RADIANS(E448))*SIN(RADIANS(F448-Finder!$G$6)/2)^2)),"")</f>
        <v>1822.4985538159117</v>
      </c>
      <c r="R448" s="39">
        <f>IF(ISNUMBER(Q448),IF(Q448&lt;=Finder!$D$7,1,0),0)</f>
        <v>0</v>
      </c>
      <c r="S448" s="39" t="str">
        <f>IF(R448=1,O448+ROW()*0.000000001,"")</f>
        <v/>
      </c>
      <c r="T448" s="39" t="str">
        <f>IF(O448&gt;0,INDEX(Calc!$B$4:$B$11,MATCH(MAX(G448:N448),G448:N448,0)),"-")</f>
        <v>Paddy Straw</v>
      </c>
    </row>
    <row r="449" spans="1:20">
      <c r="A449" s="39">
        <v>446</v>
      </c>
      <c r="B449" s="39" t="s">
        <v>514</v>
      </c>
      <c r="C449" s="39" t="s">
        <v>525</v>
      </c>
      <c r="D449" s="39" t="str">
        <f>B449&amp;"|"&amp;C449</f>
        <v>Nagaland|Phek</v>
      </c>
      <c r="E449" s="40">
        <v>25.67</v>
      </c>
      <c r="F449" s="40">
        <v>94.47</v>
      </c>
      <c r="G449" s="41">
        <v>6.72</v>
      </c>
      <c r="H449" s="41">
        <v>0</v>
      </c>
      <c r="I449" s="41">
        <v>12.010899999999999</v>
      </c>
      <c r="J449" s="41">
        <v>0.98060000000000003</v>
      </c>
      <c r="K449" s="41">
        <v>1.1023000000000001</v>
      </c>
      <c r="L449" s="41">
        <v>0.12859999999999999</v>
      </c>
      <c r="M449" s="41">
        <v>0.77610000000000001</v>
      </c>
      <c r="N449" s="41">
        <v>0</v>
      </c>
      <c r="O449" s="42">
        <f>SUM(G449:N449)</f>
        <v>21.718499999999995</v>
      </c>
      <c r="P449" s="42">
        <f>SUMPRODUCT(G449:N449,$G$2:$N$2)*1000/Assumptions!$C$15</f>
        <v>6.8901261448680335</v>
      </c>
      <c r="Q449" s="43">
        <f>IF(ISNUMBER(Finder!$G$5),Finder!$D$8*Assumptions!$C$16*2*ASIN(SQRT(SIN(RADIANS(E449-Finder!$G$5)/2)^2+COS(RADIANS(Finder!$G$5))*COS(RADIANS(E449))*SIN(RADIANS(F449-Finder!$G$6)/2)^2)),"")</f>
        <v>1888.6294489183626</v>
      </c>
      <c r="R449" s="39">
        <f>IF(ISNUMBER(Q449),IF(Q449&lt;=Finder!$D$7,1,0),0)</f>
        <v>0</v>
      </c>
      <c r="S449" s="39" t="str">
        <f>IF(R449=1,O449+ROW()*0.000000001,"")</f>
        <v/>
      </c>
      <c r="T449" s="39" t="str">
        <f>IF(O449&gt;0,INDEX(Calc!$B$4:$B$11,MATCH(MAX(G449:N449),G449:N449,0)),"-")</f>
        <v>Maize Stover</v>
      </c>
    </row>
    <row r="450" spans="1:20">
      <c r="A450" s="39">
        <v>447</v>
      </c>
      <c r="B450" s="39" t="s">
        <v>514</v>
      </c>
      <c r="C450" s="39" t="s">
        <v>526</v>
      </c>
      <c r="D450" s="39" t="str">
        <f>B450&amp;"|"&amp;C450</f>
        <v>Nagaland|Shamator</v>
      </c>
      <c r="E450" s="40">
        <v>26.03</v>
      </c>
      <c r="F450" s="40">
        <v>94.93</v>
      </c>
      <c r="G450" s="41">
        <v>2.52</v>
      </c>
      <c r="H450" s="41">
        <v>0</v>
      </c>
      <c r="I450" s="41">
        <v>1.4731000000000001</v>
      </c>
      <c r="J450" s="41">
        <v>0.27260000000000001</v>
      </c>
      <c r="K450" s="41">
        <v>0.37659999999999999</v>
      </c>
      <c r="L450" s="41">
        <v>4.3900000000000002E-2</v>
      </c>
      <c r="M450" s="41">
        <v>0.37359999999999999</v>
      </c>
      <c r="N450" s="41">
        <v>0</v>
      </c>
      <c r="O450" s="42">
        <f>SUM(G450:N450)</f>
        <v>5.0597999999999992</v>
      </c>
      <c r="P450" s="42">
        <f>SUMPRODUCT(G450:N450,$G$2:$N$2)*1000/Assumptions!$C$15</f>
        <v>1.678215793841642</v>
      </c>
      <c r="Q450" s="43">
        <f>IF(ISNUMBER(Finder!$G$5),Finder!$D$8*Assumptions!$C$16*2*ASIN(SQRT(SIN(RADIANS(E450-Finder!$G$5)/2)^2+COS(RADIANS(Finder!$G$5))*COS(RADIANS(E450))*SIN(RADIANS(F450-Finder!$G$6)/2)^2)),"")</f>
        <v>1922.3705727665108</v>
      </c>
      <c r="R450" s="39">
        <f>IF(ISNUMBER(Q450),IF(Q450&lt;=Finder!$D$7,1,0),0)</f>
        <v>0</v>
      </c>
      <c r="S450" s="39" t="str">
        <f>IF(R450=1,O450+ROW()*0.000000001,"")</f>
        <v/>
      </c>
      <c r="T450" s="39" t="str">
        <f>IF(O450&gt;0,INDEX(Calc!$B$4:$B$11,MATCH(MAX(G450:N450),G450:N450,0)),"-")</f>
        <v>Paddy Straw</v>
      </c>
    </row>
    <row r="451" spans="1:20">
      <c r="A451" s="39">
        <v>448</v>
      </c>
      <c r="B451" s="39" t="s">
        <v>514</v>
      </c>
      <c r="C451" s="39" t="s">
        <v>527</v>
      </c>
      <c r="D451" s="39" t="str">
        <f>B451&amp;"|"&amp;C451</f>
        <v>Nagaland|Tseminyu</v>
      </c>
      <c r="E451" s="40">
        <v>25.92</v>
      </c>
      <c r="F451" s="40">
        <v>94.22</v>
      </c>
      <c r="G451" s="41">
        <v>2.1</v>
      </c>
      <c r="H451" s="41">
        <v>0</v>
      </c>
      <c r="I451" s="41">
        <v>1.0379</v>
      </c>
      <c r="J451" s="41">
        <v>0.26889999999999997</v>
      </c>
      <c r="K451" s="41">
        <v>0.2666</v>
      </c>
      <c r="L451" s="41">
        <v>3.1099999999999999E-2</v>
      </c>
      <c r="M451" s="41">
        <v>0.54339999999999999</v>
      </c>
      <c r="N451" s="41">
        <v>0</v>
      </c>
      <c r="O451" s="42">
        <f>SUM(G451:N451)</f>
        <v>4.2478999999999996</v>
      </c>
      <c r="P451" s="42">
        <f>SUMPRODUCT(G451:N451,$G$2:$N$2)*1000/Assumptions!$C$15</f>
        <v>1.4128531205278594</v>
      </c>
      <c r="Q451" s="43">
        <f>IF(ISNUMBER(Finder!$G$5),Finder!$D$8*Assumptions!$C$16*2*ASIN(SQRT(SIN(RADIANS(E451-Finder!$G$5)/2)^2+COS(RADIANS(Finder!$G$5))*COS(RADIANS(E451))*SIN(RADIANS(F451-Finder!$G$6)/2)^2)),"")</f>
        <v>1857.0111187714358</v>
      </c>
      <c r="R451" s="39">
        <f>IF(ISNUMBER(Q451),IF(Q451&lt;=Finder!$D$7,1,0),0)</f>
        <v>0</v>
      </c>
      <c r="S451" s="39" t="str">
        <f>IF(R451=1,O451+ROW()*0.000000001,"")</f>
        <v/>
      </c>
      <c r="T451" s="39" t="str">
        <f>IF(O451&gt;0,INDEX(Calc!$B$4:$B$11,MATCH(MAX(G451:N451),G451:N451,0)),"-")</f>
        <v>Paddy Straw</v>
      </c>
    </row>
    <row r="452" spans="1:20">
      <c r="A452" s="39">
        <v>449</v>
      </c>
      <c r="B452" s="39" t="s">
        <v>514</v>
      </c>
      <c r="C452" s="39" t="s">
        <v>528</v>
      </c>
      <c r="D452" s="39" t="str">
        <f>B452&amp;"|"&amp;C452</f>
        <v>Nagaland|Tuensang</v>
      </c>
      <c r="E452" s="40">
        <v>26.27</v>
      </c>
      <c r="F452" s="40">
        <v>94.83</v>
      </c>
      <c r="G452" s="41">
        <v>4.2</v>
      </c>
      <c r="H452" s="41">
        <v>0</v>
      </c>
      <c r="I452" s="41">
        <v>2.5131999999999999</v>
      </c>
      <c r="J452" s="41">
        <v>0.4385</v>
      </c>
      <c r="K452" s="41">
        <v>0.67459999999999998</v>
      </c>
      <c r="L452" s="41">
        <v>7.8700000000000006E-2</v>
      </c>
      <c r="M452" s="41">
        <v>0.60640000000000005</v>
      </c>
      <c r="N452" s="41">
        <v>0</v>
      </c>
      <c r="O452" s="42">
        <f>SUM(G452:N452)</f>
        <v>8.5114000000000019</v>
      </c>
      <c r="P452" s="42">
        <f>SUMPRODUCT(G452:N452,$G$2:$N$2)*1000/Assumptions!$C$15</f>
        <v>2.8196360038123167</v>
      </c>
      <c r="Q452" s="43">
        <f>IF(ISNUMBER(Finder!$G$5),Finder!$D$8*Assumptions!$C$16*2*ASIN(SQRT(SIN(RADIANS(E452-Finder!$G$5)/2)^2+COS(RADIANS(Finder!$G$5))*COS(RADIANS(E452))*SIN(RADIANS(F452-Finder!$G$6)/2)^2)),"")</f>
        <v>1906.0617504527372</v>
      </c>
      <c r="R452" s="39">
        <f>IF(ISNUMBER(Q452),IF(Q452&lt;=Finder!$D$7,1,0),0)</f>
        <v>0</v>
      </c>
      <c r="S452" s="39" t="str">
        <f>IF(R452=1,O452+ROW()*0.000000001,"")</f>
        <v/>
      </c>
      <c r="T452" s="39" t="str">
        <f>IF(O452&gt;0,INDEX(Calc!$B$4:$B$11,MATCH(MAX(G452:N452),G452:N452,0)),"-")</f>
        <v>Paddy Straw</v>
      </c>
    </row>
    <row r="453" spans="1:20">
      <c r="A453" s="39">
        <v>450</v>
      </c>
      <c r="B453" s="39" t="s">
        <v>514</v>
      </c>
      <c r="C453" s="39" t="s">
        <v>529</v>
      </c>
      <c r="D453" s="39" t="str">
        <f>B453&amp;"|"&amp;C453</f>
        <v>Nagaland|Wokha</v>
      </c>
      <c r="E453" s="40">
        <v>26.1</v>
      </c>
      <c r="F453" s="40">
        <v>94.26</v>
      </c>
      <c r="G453" s="41">
        <v>7.98</v>
      </c>
      <c r="H453" s="41">
        <v>0</v>
      </c>
      <c r="I453" s="41">
        <v>7.6177000000000001</v>
      </c>
      <c r="J453" s="41">
        <v>0.88139999999999996</v>
      </c>
      <c r="K453" s="41">
        <v>2.4786000000000001</v>
      </c>
      <c r="L453" s="41">
        <v>0.28920000000000001</v>
      </c>
      <c r="M453" s="41">
        <v>1.3352999999999999</v>
      </c>
      <c r="N453" s="41">
        <v>0</v>
      </c>
      <c r="O453" s="42">
        <f>SUM(G453:N453)</f>
        <v>20.5822</v>
      </c>
      <c r="P453" s="42">
        <f>SUMPRODUCT(G453:N453,$G$2:$N$2)*1000/Assumptions!$C$15</f>
        <v>6.6563993865102651</v>
      </c>
      <c r="Q453" s="43">
        <f>IF(ISNUMBER(Finder!$G$5),Finder!$D$8*Assumptions!$C$16*2*ASIN(SQRT(SIN(RADIANS(E453-Finder!$G$5)/2)^2+COS(RADIANS(Finder!$G$5))*COS(RADIANS(E453))*SIN(RADIANS(F453-Finder!$G$6)/2)^2)),"")</f>
        <v>1855.6728517943652</v>
      </c>
      <c r="R453" s="39">
        <f>IF(ISNUMBER(Q453),IF(Q453&lt;=Finder!$D$7,1,0),0)</f>
        <v>0</v>
      </c>
      <c r="S453" s="39" t="str">
        <f>IF(R453=1,O453+ROW()*0.000000001,"")</f>
        <v/>
      </c>
      <c r="T453" s="39" t="str">
        <f>IF(O453&gt;0,INDEX(Calc!$B$4:$B$11,MATCH(MAX(G453:N453),G453:N453,0)),"-")</f>
        <v>Paddy Straw</v>
      </c>
    </row>
    <row r="454" spans="1:20">
      <c r="A454" s="39">
        <v>451</v>
      </c>
      <c r="B454" s="39" t="s">
        <v>514</v>
      </c>
      <c r="C454" s="39" t="s">
        <v>530</v>
      </c>
      <c r="D454" s="39" t="str">
        <f>B454&amp;"|"&amp;C454</f>
        <v>Nagaland|Zunheboto</v>
      </c>
      <c r="E454" s="40">
        <v>25.97</v>
      </c>
      <c r="F454" s="40">
        <v>94.52</v>
      </c>
      <c r="G454" s="41">
        <v>5.88</v>
      </c>
      <c r="H454" s="41">
        <v>0</v>
      </c>
      <c r="I454" s="41">
        <v>6.4958</v>
      </c>
      <c r="J454" s="41">
        <v>0.7087</v>
      </c>
      <c r="K454" s="41">
        <v>0.79849999999999999</v>
      </c>
      <c r="L454" s="41">
        <v>9.3200000000000005E-2</v>
      </c>
      <c r="M454" s="41">
        <v>2.0808</v>
      </c>
      <c r="N454" s="41">
        <v>0</v>
      </c>
      <c r="O454" s="42">
        <f>SUM(G454:N454)</f>
        <v>16.057000000000002</v>
      </c>
      <c r="P454" s="42">
        <f>SUMPRODUCT(G454:N454,$G$2:$N$2)*1000/Assumptions!$C$15</f>
        <v>5.192605187096774</v>
      </c>
      <c r="Q454" s="43">
        <f>IF(ISNUMBER(Finder!$G$5),Finder!$D$8*Assumptions!$C$16*2*ASIN(SQRT(SIN(RADIANS(E454-Finder!$G$5)/2)^2+COS(RADIANS(Finder!$G$5))*COS(RADIANS(E454))*SIN(RADIANS(F454-Finder!$G$6)/2)^2)),"")</f>
        <v>1884.4962428251938</v>
      </c>
      <c r="R454" s="39">
        <f>IF(ISNUMBER(Q454),IF(Q454&lt;=Finder!$D$7,1,0),0)</f>
        <v>0</v>
      </c>
      <c r="S454" s="39" t="str">
        <f>IF(R454=1,O454+ROW()*0.000000001,"")</f>
        <v/>
      </c>
      <c r="T454" s="39" t="str">
        <f>IF(O454&gt;0,INDEX(Calc!$B$4:$B$11,MATCH(MAX(G454:N454),G454:N454,0)),"-")</f>
        <v>Maize Stover</v>
      </c>
    </row>
    <row r="455" spans="1:20">
      <c r="A455" s="39">
        <v>452</v>
      </c>
      <c r="B455" s="39" t="s">
        <v>531</v>
      </c>
      <c r="C455" s="39" t="s">
        <v>532</v>
      </c>
      <c r="D455" s="39" t="str">
        <f>B455&amp;"|"&amp;C455</f>
        <v>Odisha|Angul</v>
      </c>
      <c r="E455" s="40">
        <v>20.84</v>
      </c>
      <c r="F455" s="40">
        <v>85.1</v>
      </c>
      <c r="G455" s="41">
        <v>38.22</v>
      </c>
      <c r="H455" s="41">
        <v>0</v>
      </c>
      <c r="I455" s="41">
        <v>0.91720000000000002</v>
      </c>
      <c r="J455" s="41">
        <v>7.2400000000000006E-2</v>
      </c>
      <c r="K455" s="41">
        <v>0.51739999999999997</v>
      </c>
      <c r="L455" s="41">
        <v>6.0400000000000002E-2</v>
      </c>
      <c r="M455" s="41">
        <v>0</v>
      </c>
      <c r="N455" s="41">
        <v>0</v>
      </c>
      <c r="O455" s="42">
        <f>SUM(G455:N455)</f>
        <v>39.787400000000005</v>
      </c>
      <c r="P455" s="42">
        <f>SUMPRODUCT(G455:N455,$G$2:$N$2)*1000/Assumptions!$C$15</f>
        <v>14.469777256304983</v>
      </c>
      <c r="Q455" s="43">
        <f>IF(ISNUMBER(Finder!$G$5),Finder!$D$8*Assumptions!$C$16*2*ASIN(SQRT(SIN(RADIANS(E455-Finder!$G$5)/2)^2+COS(RADIANS(Finder!$G$5))*COS(RADIANS(E455))*SIN(RADIANS(F455-Finder!$G$6)/2)^2)),"")</f>
        <v>1320.8035121844553</v>
      </c>
      <c r="R455" s="39">
        <f>IF(ISNUMBER(Q455),IF(Q455&lt;=Finder!$D$7,1,0),0)</f>
        <v>0</v>
      </c>
      <c r="S455" s="39" t="str">
        <f>IF(R455=1,O455+ROW()*0.000000001,"")</f>
        <v/>
      </c>
      <c r="T455" s="39" t="str">
        <f>IF(O455&gt;0,INDEX(Calc!$B$4:$B$11,MATCH(MAX(G455:N455),G455:N455,0)),"-")</f>
        <v>Paddy Straw</v>
      </c>
    </row>
    <row r="456" spans="1:20">
      <c r="A456" s="39">
        <v>453</v>
      </c>
      <c r="B456" s="39" t="s">
        <v>531</v>
      </c>
      <c r="C456" s="39" t="s">
        <v>533</v>
      </c>
      <c r="D456" s="39" t="str">
        <f>B456&amp;"|"&amp;C456</f>
        <v>Odisha|Balangir</v>
      </c>
      <c r="E456" s="40">
        <v>20.7</v>
      </c>
      <c r="F456" s="40">
        <v>83.48</v>
      </c>
      <c r="G456" s="41">
        <v>68.459999999999994</v>
      </c>
      <c r="H456" s="41">
        <v>0</v>
      </c>
      <c r="I456" s="41">
        <v>10.6075</v>
      </c>
      <c r="J456" s="41">
        <v>0.16020000000000001</v>
      </c>
      <c r="K456" s="41">
        <v>1.0102</v>
      </c>
      <c r="L456" s="41">
        <v>0.1179</v>
      </c>
      <c r="M456" s="41">
        <v>0</v>
      </c>
      <c r="N456" s="41">
        <v>0</v>
      </c>
      <c r="O456" s="42">
        <f>SUM(G456:N456)</f>
        <v>80.355800000000002</v>
      </c>
      <c r="P456" s="42">
        <f>SUMPRODUCT(G456:N456,$G$2:$N$2)*1000/Assumptions!$C$15</f>
        <v>28.591832268914949</v>
      </c>
      <c r="Q456" s="43">
        <f>IF(ISNUMBER(Finder!$G$5),Finder!$D$8*Assumptions!$C$16*2*ASIN(SQRT(SIN(RADIANS(E456-Finder!$G$5)/2)^2+COS(RADIANS(Finder!$G$5))*COS(RADIANS(E456))*SIN(RADIANS(F456-Finder!$G$6)/2)^2)),"")</f>
        <v>1221.9488019841392</v>
      </c>
      <c r="R456" s="39">
        <f>IF(ISNUMBER(Q456),IF(Q456&lt;=Finder!$D$7,1,0),0)</f>
        <v>0</v>
      </c>
      <c r="S456" s="39" t="str">
        <f>IF(R456=1,O456+ROW()*0.000000001,"")</f>
        <v/>
      </c>
      <c r="T456" s="39" t="str">
        <f>IF(O456&gt;0,INDEX(Calc!$B$4:$B$11,MATCH(MAX(G456:N456),G456:N456,0)),"-")</f>
        <v>Paddy Straw</v>
      </c>
    </row>
    <row r="457" spans="1:20">
      <c r="A457" s="39">
        <v>454</v>
      </c>
      <c r="B457" s="39" t="s">
        <v>531</v>
      </c>
      <c r="C457" s="39" t="s">
        <v>534</v>
      </c>
      <c r="D457" s="39" t="str">
        <f>B457&amp;"|"&amp;C457</f>
        <v>Odisha|Balasore</v>
      </c>
      <c r="E457" s="40">
        <v>21.49</v>
      </c>
      <c r="F457" s="40">
        <v>86.93</v>
      </c>
      <c r="G457" s="41">
        <v>98.7</v>
      </c>
      <c r="H457" s="41">
        <v>0</v>
      </c>
      <c r="I457" s="41">
        <v>8.3000000000000001E-3</v>
      </c>
      <c r="J457" s="41">
        <v>0.24779999999999999</v>
      </c>
      <c r="K457" s="41">
        <v>0</v>
      </c>
      <c r="L457" s="41">
        <v>0</v>
      </c>
      <c r="M457" s="41">
        <v>0</v>
      </c>
      <c r="N457" s="41">
        <v>0</v>
      </c>
      <c r="O457" s="42">
        <f>SUM(G457:N457)</f>
        <v>98.956100000000006</v>
      </c>
      <c r="P457" s="42">
        <f>SUMPRODUCT(G457:N457,$G$2:$N$2)*1000/Assumptions!$C$15</f>
        <v>36.254244655718473</v>
      </c>
      <c r="Q457" s="43">
        <f>IF(ISNUMBER(Finder!$G$5),Finder!$D$8*Assumptions!$C$16*2*ASIN(SQRT(SIN(RADIANS(E457-Finder!$G$5)/2)^2+COS(RADIANS(Finder!$G$5))*COS(RADIANS(E457))*SIN(RADIANS(F457-Finder!$G$6)/2)^2)),"")</f>
        <v>1411.0765069910767</v>
      </c>
      <c r="R457" s="39">
        <f>IF(ISNUMBER(Q457),IF(Q457&lt;=Finder!$D$7,1,0),0)</f>
        <v>0</v>
      </c>
      <c r="S457" s="39" t="str">
        <f>IF(R457=1,O457+ROW()*0.000000001,"")</f>
        <v/>
      </c>
      <c r="T457" s="39" t="str">
        <f>IF(O457&gt;0,INDEX(Calc!$B$4:$B$11,MATCH(MAX(G457:N457),G457:N457,0)),"-")</f>
        <v>Paddy Straw</v>
      </c>
    </row>
    <row r="458" spans="1:20">
      <c r="A458" s="39">
        <v>455</v>
      </c>
      <c r="B458" s="39" t="s">
        <v>531</v>
      </c>
      <c r="C458" s="39" t="s">
        <v>535</v>
      </c>
      <c r="D458" s="39" t="str">
        <f>B458&amp;"|"&amp;C458</f>
        <v>Odisha|Bargarh</v>
      </c>
      <c r="E458" s="40">
        <v>21.33</v>
      </c>
      <c r="F458" s="40">
        <v>83.62</v>
      </c>
      <c r="G458" s="41">
        <v>132.72</v>
      </c>
      <c r="H458" s="41">
        <v>0</v>
      </c>
      <c r="I458" s="41">
        <v>0.19020000000000001</v>
      </c>
      <c r="J458" s="41">
        <v>0.21590000000000001</v>
      </c>
      <c r="K458" s="41">
        <v>0.70960000000000001</v>
      </c>
      <c r="L458" s="41">
        <v>8.2799999999999999E-2</v>
      </c>
      <c r="M458" s="41">
        <v>0</v>
      </c>
      <c r="N458" s="41">
        <v>0</v>
      </c>
      <c r="O458" s="42">
        <f>SUM(G458:N458)</f>
        <v>133.91849999999999</v>
      </c>
      <c r="P458" s="42">
        <f>SUMPRODUCT(G458:N458,$G$2:$N$2)*1000/Assumptions!$C$15</f>
        <v>49.000255455718474</v>
      </c>
      <c r="Q458" s="43">
        <f>IF(ISNUMBER(Finder!$G$5),Finder!$D$8*Assumptions!$C$16*2*ASIN(SQRT(SIN(RADIANS(E458-Finder!$G$5)/2)^2+COS(RADIANS(Finder!$G$5))*COS(RADIANS(E458))*SIN(RADIANS(F458-Finder!$G$6)/2)^2)),"")</f>
        <v>1177.1316979072747</v>
      </c>
      <c r="R458" s="39">
        <f>IF(ISNUMBER(Q458),IF(Q458&lt;=Finder!$D$7,1,0),0)</f>
        <v>0</v>
      </c>
      <c r="S458" s="39" t="str">
        <f>IF(R458=1,O458+ROW()*0.000000001,"")</f>
        <v/>
      </c>
      <c r="T458" s="39" t="str">
        <f>IF(O458&gt;0,INDEX(Calc!$B$4:$B$11,MATCH(MAX(G458:N458),G458:N458,0)),"-")</f>
        <v>Paddy Straw</v>
      </c>
    </row>
    <row r="459" spans="1:20">
      <c r="A459" s="39">
        <v>456</v>
      </c>
      <c r="B459" s="39" t="s">
        <v>531</v>
      </c>
      <c r="C459" s="39" t="s">
        <v>536</v>
      </c>
      <c r="D459" s="39" t="str">
        <f>B459&amp;"|"&amp;C459</f>
        <v>Odisha|Bhadrak</v>
      </c>
      <c r="E459" s="40">
        <v>21.06</v>
      </c>
      <c r="F459" s="40">
        <v>86.5</v>
      </c>
      <c r="G459" s="41">
        <v>57.96</v>
      </c>
      <c r="H459" s="41">
        <v>0</v>
      </c>
      <c r="I459" s="41">
        <v>1.6000000000000001E-3</v>
      </c>
      <c r="J459" s="41">
        <v>4.7300000000000002E-2</v>
      </c>
      <c r="K459" s="41">
        <v>0.25240000000000001</v>
      </c>
      <c r="L459" s="41">
        <v>2.9399999999999999E-2</v>
      </c>
      <c r="M459" s="41">
        <v>0</v>
      </c>
      <c r="N459" s="41">
        <v>0</v>
      </c>
      <c r="O459" s="42">
        <f>SUM(G459:N459)</f>
        <v>58.290700000000008</v>
      </c>
      <c r="P459" s="42">
        <f>SUMPRODUCT(G459:N459,$G$2:$N$2)*1000/Assumptions!$C$15</f>
        <v>21.342280792375366</v>
      </c>
      <c r="Q459" s="43">
        <f>IF(ISNUMBER(Finder!$G$5),Finder!$D$8*Assumptions!$C$16*2*ASIN(SQRT(SIN(RADIANS(E459-Finder!$G$5)/2)^2+COS(RADIANS(Finder!$G$5))*COS(RADIANS(E459))*SIN(RADIANS(F459-Finder!$G$6)/2)^2)),"")</f>
        <v>1408.3786366297034</v>
      </c>
      <c r="R459" s="39">
        <f>IF(ISNUMBER(Q459),IF(Q459&lt;=Finder!$D$7,1,0),0)</f>
        <v>0</v>
      </c>
      <c r="S459" s="39" t="str">
        <f>IF(R459=1,O459+ROW()*0.000000001,"")</f>
        <v/>
      </c>
      <c r="T459" s="39" t="str">
        <f>IF(O459&gt;0,INDEX(Calc!$B$4:$B$11,MATCH(MAX(G459:N459),G459:N459,0)),"-")</f>
        <v>Paddy Straw</v>
      </c>
    </row>
    <row r="460" spans="1:20">
      <c r="A460" s="39">
        <v>457</v>
      </c>
      <c r="B460" s="39" t="s">
        <v>531</v>
      </c>
      <c r="C460" s="39" t="s">
        <v>537</v>
      </c>
      <c r="D460" s="39" t="str">
        <f>B460&amp;"|"&amp;C460</f>
        <v>Odisha|Boudh</v>
      </c>
      <c r="E460" s="40">
        <v>20.84</v>
      </c>
      <c r="F460" s="40">
        <v>84.33</v>
      </c>
      <c r="G460" s="41">
        <v>28.14</v>
      </c>
      <c r="H460" s="41">
        <v>0</v>
      </c>
      <c r="I460" s="41">
        <v>2.0400000000000001E-2</v>
      </c>
      <c r="J460" s="41">
        <v>1.04E-2</v>
      </c>
      <c r="K460" s="41">
        <v>1.3899999999999999E-2</v>
      </c>
      <c r="L460" s="41">
        <v>1.6000000000000001E-3</v>
      </c>
      <c r="M460" s="41">
        <v>0</v>
      </c>
      <c r="N460" s="41">
        <v>0</v>
      </c>
      <c r="O460" s="42">
        <f>SUM(G460:N460)</f>
        <v>28.186299999999999</v>
      </c>
      <c r="P460" s="42">
        <f>SUMPRODUCT(G460:N460,$G$2:$N$2)*1000/Assumptions!$C$15</f>
        <v>10.328433663343107</v>
      </c>
      <c r="Q460" s="43">
        <f>IF(ISNUMBER(Finder!$G$5),Finder!$D$8*Assumptions!$C$16*2*ASIN(SQRT(SIN(RADIANS(E460-Finder!$G$5)/2)^2+COS(RADIANS(Finder!$G$5))*COS(RADIANS(E460))*SIN(RADIANS(F460-Finder!$G$6)/2)^2)),"")</f>
        <v>1266.6249778329591</v>
      </c>
      <c r="R460" s="39">
        <f>IF(ISNUMBER(Q460),IF(Q460&lt;=Finder!$D$7,1,0),0)</f>
        <v>0</v>
      </c>
      <c r="S460" s="39" t="str">
        <f>IF(R460=1,O460+ROW()*0.000000001,"")</f>
        <v/>
      </c>
      <c r="T460" s="39" t="str">
        <f>IF(O460&gt;0,INDEX(Calc!$B$4:$B$11,MATCH(MAX(G460:N460),G460:N460,0)),"-")</f>
        <v>Paddy Straw</v>
      </c>
    </row>
    <row r="461" spans="1:20">
      <c r="A461" s="39">
        <v>458</v>
      </c>
      <c r="B461" s="39" t="s">
        <v>531</v>
      </c>
      <c r="C461" s="39" t="s">
        <v>538</v>
      </c>
      <c r="D461" s="39" t="str">
        <f>B461&amp;"|"&amp;C461</f>
        <v>Odisha|Cuttack</v>
      </c>
      <c r="E461" s="40">
        <v>20.46</v>
      </c>
      <c r="F461" s="40">
        <v>85.88</v>
      </c>
      <c r="G461" s="41">
        <v>48.3</v>
      </c>
      <c r="H461" s="41">
        <v>0</v>
      </c>
      <c r="I461" s="41">
        <v>3.9800000000000002E-2</v>
      </c>
      <c r="J461" s="41">
        <v>4.1000000000000003E-3</v>
      </c>
      <c r="K461" s="41">
        <v>5.7122000000000002</v>
      </c>
      <c r="L461" s="41">
        <v>0.66639999999999999</v>
      </c>
      <c r="M461" s="41">
        <v>0</v>
      </c>
      <c r="N461" s="41">
        <v>0</v>
      </c>
      <c r="O461" s="42">
        <f>SUM(G461:N461)</f>
        <v>54.722500000000004</v>
      </c>
      <c r="P461" s="42">
        <f>SUMPRODUCT(G461:N461,$G$2:$N$2)*1000/Assumptions!$C$15</f>
        <v>19.582691660997064</v>
      </c>
      <c r="Q461" s="43">
        <f>IF(ISNUMBER(Finder!$G$5),Finder!$D$8*Assumptions!$C$16*2*ASIN(SQRT(SIN(RADIANS(E461-Finder!$G$5)/2)^2+COS(RADIANS(Finder!$G$5))*COS(RADIANS(E461))*SIN(RADIANS(F461-Finder!$G$6)/2)^2)),"")</f>
        <v>1407.6857346238244</v>
      </c>
      <c r="R461" s="39">
        <f>IF(ISNUMBER(Q461),IF(Q461&lt;=Finder!$D$7,1,0),0)</f>
        <v>0</v>
      </c>
      <c r="S461" s="39" t="str">
        <f>IF(R461=1,O461+ROW()*0.000000001,"")</f>
        <v/>
      </c>
      <c r="T461" s="39" t="str">
        <f>IF(O461&gt;0,INDEX(Calc!$B$4:$B$11,MATCH(MAX(G461:N461),G461:N461,0)),"-")</f>
        <v>Paddy Straw</v>
      </c>
    </row>
    <row r="462" spans="1:20">
      <c r="A462" s="39">
        <v>459</v>
      </c>
      <c r="B462" s="39" t="s">
        <v>531</v>
      </c>
      <c r="C462" s="39" t="s">
        <v>539</v>
      </c>
      <c r="D462" s="39" t="str">
        <f>B462&amp;"|"&amp;C462</f>
        <v>Odisha|Deogarh</v>
      </c>
      <c r="E462" s="40">
        <v>21.54</v>
      </c>
      <c r="F462" s="40">
        <v>84.73</v>
      </c>
      <c r="G462" s="41">
        <v>13.44</v>
      </c>
      <c r="H462" s="41">
        <v>0</v>
      </c>
      <c r="I462" s="41">
        <v>0.34150000000000003</v>
      </c>
      <c r="J462" s="41">
        <v>2.7199999999999998E-2</v>
      </c>
      <c r="K462" s="41">
        <v>0.20269999999999999</v>
      </c>
      <c r="L462" s="41">
        <v>2.3599999999999999E-2</v>
      </c>
      <c r="M462" s="41">
        <v>0</v>
      </c>
      <c r="N462" s="41">
        <v>0</v>
      </c>
      <c r="O462" s="42">
        <f>SUM(G462:N462)</f>
        <v>14.035</v>
      </c>
      <c r="P462" s="42">
        <f>SUMPRODUCT(G462:N462,$G$2:$N$2)*1000/Assumptions!$C$15</f>
        <v>5.101136049266862</v>
      </c>
      <c r="Q462" s="43">
        <f>IF(ISNUMBER(Finder!$G$5),Finder!$D$8*Assumptions!$C$16*2*ASIN(SQRT(SIN(RADIANS(E462-Finder!$G$5)/2)^2+COS(RADIANS(Finder!$G$5))*COS(RADIANS(E462))*SIN(RADIANS(F462-Finder!$G$6)/2)^2)),"")</f>
        <v>1238.3552044333121</v>
      </c>
      <c r="R462" s="39">
        <f>IF(ISNUMBER(Q462),IF(Q462&lt;=Finder!$D$7,1,0),0)</f>
        <v>0</v>
      </c>
      <c r="S462" s="39" t="str">
        <f>IF(R462=1,O462+ROW()*0.000000001,"")</f>
        <v/>
      </c>
      <c r="T462" s="39" t="str">
        <f>IF(O462&gt;0,INDEX(Calc!$B$4:$B$11,MATCH(MAX(G462:N462),G462:N462,0)),"-")</f>
        <v>Paddy Straw</v>
      </c>
    </row>
    <row r="463" spans="1:20">
      <c r="A463" s="39">
        <v>460</v>
      </c>
      <c r="B463" s="39" t="s">
        <v>531</v>
      </c>
      <c r="C463" s="39" t="s">
        <v>540</v>
      </c>
      <c r="D463" s="39" t="str">
        <f>B463&amp;"|"&amp;C463</f>
        <v>Odisha|Dhenkanal</v>
      </c>
      <c r="E463" s="40">
        <v>20.66</v>
      </c>
      <c r="F463" s="40">
        <v>85.6</v>
      </c>
      <c r="G463" s="41">
        <v>37.799999999999997</v>
      </c>
      <c r="H463" s="41">
        <v>0</v>
      </c>
      <c r="I463" s="41">
        <v>0.48899999999999999</v>
      </c>
      <c r="J463" s="41">
        <v>2.9100000000000001E-2</v>
      </c>
      <c r="K463" s="41">
        <v>11.263999999999999</v>
      </c>
      <c r="L463" s="41">
        <v>1.3141</v>
      </c>
      <c r="M463" s="41">
        <v>0</v>
      </c>
      <c r="N463" s="41">
        <v>0</v>
      </c>
      <c r="O463" s="42">
        <f>SUM(G463:N463)</f>
        <v>50.8962</v>
      </c>
      <c r="P463" s="42">
        <f>SUMPRODUCT(G463:N463,$G$2:$N$2)*1000/Assumptions!$C$15</f>
        <v>17.686205765102638</v>
      </c>
      <c r="Q463" s="43">
        <f>IF(ISNUMBER(Finder!$G$5),Finder!$D$8*Assumptions!$C$16*2*ASIN(SQRT(SIN(RADIANS(E463-Finder!$G$5)/2)^2+COS(RADIANS(Finder!$G$5))*COS(RADIANS(E463))*SIN(RADIANS(F463-Finder!$G$6)/2)^2)),"")</f>
        <v>1371.3813947310759</v>
      </c>
      <c r="R463" s="39">
        <f>IF(ISNUMBER(Q463),IF(Q463&lt;=Finder!$D$7,1,0),0)</f>
        <v>0</v>
      </c>
      <c r="S463" s="39" t="str">
        <f>IF(R463=1,O463+ROW()*0.000000001,"")</f>
        <v/>
      </c>
      <c r="T463" s="39" t="str">
        <f>IF(O463&gt;0,INDEX(Calc!$B$4:$B$11,MATCH(MAX(G463:N463),G463:N463,0)),"-")</f>
        <v>Paddy Straw</v>
      </c>
    </row>
    <row r="464" spans="1:20">
      <c r="A464" s="39">
        <v>461</v>
      </c>
      <c r="B464" s="39" t="s">
        <v>531</v>
      </c>
      <c r="C464" s="39" t="s">
        <v>541</v>
      </c>
      <c r="D464" s="39" t="str">
        <f>B464&amp;"|"&amp;C464</f>
        <v>Odisha|Gajapati</v>
      </c>
      <c r="E464" s="40">
        <v>18.78</v>
      </c>
      <c r="F464" s="40">
        <v>84.09</v>
      </c>
      <c r="G464" s="41">
        <v>14.7</v>
      </c>
      <c r="H464" s="41">
        <v>0</v>
      </c>
      <c r="I464" s="41">
        <v>36.547899999999998</v>
      </c>
      <c r="J464" s="41">
        <v>7.0000000000000001E-3</v>
      </c>
      <c r="K464" s="41">
        <v>0</v>
      </c>
      <c r="L464" s="41">
        <v>0</v>
      </c>
      <c r="M464" s="41">
        <v>0</v>
      </c>
      <c r="N464" s="41">
        <v>0</v>
      </c>
      <c r="O464" s="42">
        <f>SUM(G464:N464)</f>
        <v>51.254899999999999</v>
      </c>
      <c r="P464" s="42">
        <f>SUMPRODUCT(G464:N464,$G$2:$N$2)*1000/Assumptions!$C$15</f>
        <v>16.142134452785921</v>
      </c>
      <c r="Q464" s="43">
        <f>IF(ISNUMBER(Finder!$G$5),Finder!$D$8*Assumptions!$C$16*2*ASIN(SQRT(SIN(RADIANS(E464-Finder!$G$5)/2)^2+COS(RADIANS(Finder!$G$5))*COS(RADIANS(E464))*SIN(RADIANS(F464-Finder!$G$6)/2)^2)),"")</f>
        <v>1431.6265752018435</v>
      </c>
      <c r="R464" s="39">
        <f>IF(ISNUMBER(Q464),IF(Q464&lt;=Finder!$D$7,1,0),0)</f>
        <v>0</v>
      </c>
      <c r="S464" s="39" t="str">
        <f>IF(R464=1,O464+ROW()*0.000000001,"")</f>
        <v/>
      </c>
      <c r="T464" s="39" t="str">
        <f>IF(O464&gt;0,INDEX(Calc!$B$4:$B$11,MATCH(MAX(G464:N464),G464:N464,0)),"-")</f>
        <v>Maize Stover</v>
      </c>
    </row>
    <row r="465" spans="1:20">
      <c r="A465" s="39">
        <v>462</v>
      </c>
      <c r="B465" s="39" t="s">
        <v>531</v>
      </c>
      <c r="C465" s="39" t="s">
        <v>542</v>
      </c>
      <c r="D465" s="39" t="str">
        <f>B465&amp;"|"&amp;C465</f>
        <v>Odisha|Ganjam</v>
      </c>
      <c r="E465" s="40">
        <v>19.309999999999999</v>
      </c>
      <c r="F465" s="40">
        <v>84.79</v>
      </c>
      <c r="G465" s="41">
        <v>110.04</v>
      </c>
      <c r="H465" s="41">
        <v>0</v>
      </c>
      <c r="I465" s="41">
        <v>2.0426000000000002</v>
      </c>
      <c r="J465" s="41">
        <v>0</v>
      </c>
      <c r="K465" s="41">
        <v>1.4391</v>
      </c>
      <c r="L465" s="41">
        <v>0.16789999999999999</v>
      </c>
      <c r="M465" s="41">
        <v>0</v>
      </c>
      <c r="N465" s="41">
        <v>0</v>
      </c>
      <c r="O465" s="42">
        <f>SUM(G465:N465)</f>
        <v>113.68960000000001</v>
      </c>
      <c r="P465" s="42">
        <f>SUMPRODUCT(G465:N465,$G$2:$N$2)*1000/Assumptions!$C$15</f>
        <v>41.406436820234603</v>
      </c>
      <c r="Q465" s="43">
        <f>IF(ISNUMBER(Finder!$G$5),Finder!$D$8*Assumptions!$C$16*2*ASIN(SQRT(SIN(RADIANS(E465-Finder!$G$5)/2)^2+COS(RADIANS(Finder!$G$5))*COS(RADIANS(E465))*SIN(RADIANS(F465-Finder!$G$6)/2)^2)),"")</f>
        <v>1428.0642925906182</v>
      </c>
      <c r="R465" s="39">
        <f>IF(ISNUMBER(Q465),IF(Q465&lt;=Finder!$D$7,1,0),0)</f>
        <v>0</v>
      </c>
      <c r="S465" s="39" t="str">
        <f>IF(R465=1,O465+ROW()*0.000000001,"")</f>
        <v/>
      </c>
      <c r="T465" s="39" t="str">
        <f>IF(O465&gt;0,INDEX(Calc!$B$4:$B$11,MATCH(MAX(G465:N465),G465:N465,0)),"-")</f>
        <v>Paddy Straw</v>
      </c>
    </row>
    <row r="466" spans="1:20">
      <c r="A466" s="39">
        <v>463</v>
      </c>
      <c r="B466" s="39" t="s">
        <v>531</v>
      </c>
      <c r="C466" s="39" t="s">
        <v>543</v>
      </c>
      <c r="D466" s="39" t="str">
        <f>B466&amp;"|"&amp;C466</f>
        <v>Odisha|Jagatsinghapur</v>
      </c>
      <c r="E466" s="40">
        <v>20.260000000000002</v>
      </c>
      <c r="F466" s="40">
        <v>86.17</v>
      </c>
      <c r="G466" s="41">
        <v>33.6</v>
      </c>
      <c r="H466" s="41">
        <v>0</v>
      </c>
      <c r="I466" s="41">
        <v>0</v>
      </c>
      <c r="J466" s="41">
        <v>9.9000000000000008E-3</v>
      </c>
      <c r="K466" s="41">
        <v>5.3048999999999999</v>
      </c>
      <c r="L466" s="41">
        <v>0.61890000000000001</v>
      </c>
      <c r="M466" s="41">
        <v>0</v>
      </c>
      <c r="N466" s="41">
        <v>0</v>
      </c>
      <c r="O466" s="42">
        <f>SUM(G466:N466)</f>
        <v>39.533699999999996</v>
      </c>
      <c r="P466" s="42">
        <f>SUMPRODUCT(G466:N466,$G$2:$N$2)*1000/Assumptions!$C$15</f>
        <v>14.051348136950146</v>
      </c>
      <c r="Q466" s="43">
        <f>IF(ISNUMBER(Finder!$G$5),Finder!$D$8*Assumptions!$C$16*2*ASIN(SQRT(SIN(RADIANS(E466-Finder!$G$5)/2)^2+COS(RADIANS(Finder!$G$5))*COS(RADIANS(E466))*SIN(RADIANS(F466-Finder!$G$6)/2)^2)),"")</f>
        <v>1444.7611141561042</v>
      </c>
      <c r="R466" s="39">
        <f>IF(ISNUMBER(Q466),IF(Q466&lt;=Finder!$D$7,1,0),0)</f>
        <v>0</v>
      </c>
      <c r="S466" s="39" t="str">
        <f>IF(R466=1,O466+ROW()*0.000000001,"")</f>
        <v/>
      </c>
      <c r="T466" s="39" t="str">
        <f>IF(O466&gt;0,INDEX(Calc!$B$4:$B$11,MATCH(MAX(G466:N466),G466:N466,0)),"-")</f>
        <v>Paddy Straw</v>
      </c>
    </row>
    <row r="467" spans="1:20">
      <c r="A467" s="39">
        <v>464</v>
      </c>
      <c r="B467" s="39" t="s">
        <v>531</v>
      </c>
      <c r="C467" s="39" t="s">
        <v>544</v>
      </c>
      <c r="D467" s="39" t="str">
        <f>B467&amp;"|"&amp;C467</f>
        <v>Odisha|Jajpur</v>
      </c>
      <c r="E467" s="40">
        <v>20.85</v>
      </c>
      <c r="F467" s="40">
        <v>86.34</v>
      </c>
      <c r="G467" s="41">
        <v>46.2</v>
      </c>
      <c r="H467" s="41">
        <v>0</v>
      </c>
      <c r="I467" s="41">
        <v>8.1000000000000003E-2</v>
      </c>
      <c r="J467" s="41">
        <v>2.4400000000000002E-2</v>
      </c>
      <c r="K467" s="41">
        <v>7.9907000000000004</v>
      </c>
      <c r="L467" s="41">
        <v>0.93230000000000002</v>
      </c>
      <c r="M467" s="41">
        <v>0</v>
      </c>
      <c r="N467" s="41">
        <v>0</v>
      </c>
      <c r="O467" s="42">
        <f>SUM(G467:N467)</f>
        <v>55.228400000000008</v>
      </c>
      <c r="P467" s="42">
        <f>SUMPRODUCT(G467:N467,$G$2:$N$2)*1000/Assumptions!$C$15</f>
        <v>19.575029337536659</v>
      </c>
      <c r="Q467" s="43">
        <f>IF(ISNUMBER(Finder!$G$5),Finder!$D$8*Assumptions!$C$16*2*ASIN(SQRT(SIN(RADIANS(E467-Finder!$G$5)/2)^2+COS(RADIANS(Finder!$G$5))*COS(RADIANS(E467))*SIN(RADIANS(F467-Finder!$G$6)/2)^2)),"")</f>
        <v>1411.8463023914815</v>
      </c>
      <c r="R467" s="39">
        <f>IF(ISNUMBER(Q467),IF(Q467&lt;=Finder!$D$7,1,0),0)</f>
        <v>0</v>
      </c>
      <c r="S467" s="39" t="str">
        <f>IF(R467=1,O467+ROW()*0.000000001,"")</f>
        <v/>
      </c>
      <c r="T467" s="39" t="str">
        <f>IF(O467&gt;0,INDEX(Calc!$B$4:$B$11,MATCH(MAX(G467:N467),G467:N467,0)),"-")</f>
        <v>Paddy Straw</v>
      </c>
    </row>
    <row r="468" spans="1:20">
      <c r="A468" s="39">
        <v>465</v>
      </c>
      <c r="B468" s="39" t="s">
        <v>531</v>
      </c>
      <c r="C468" s="39" t="s">
        <v>545</v>
      </c>
      <c r="D468" s="39" t="str">
        <f>B468&amp;"|"&amp;C468</f>
        <v>Odisha|Jharsuguda</v>
      </c>
      <c r="E468" s="40">
        <v>21.86</v>
      </c>
      <c r="F468" s="40">
        <v>84.01</v>
      </c>
      <c r="G468" s="41">
        <v>13.02</v>
      </c>
      <c r="H468" s="41">
        <v>0</v>
      </c>
      <c r="I468" s="41">
        <v>0.28770000000000001</v>
      </c>
      <c r="J468" s="41">
        <v>4.9000000000000002E-2</v>
      </c>
      <c r="K468" s="41">
        <v>0.27739999999999998</v>
      </c>
      <c r="L468" s="41">
        <v>3.2399999999999998E-2</v>
      </c>
      <c r="M468" s="41">
        <v>0</v>
      </c>
      <c r="N468" s="41">
        <v>0</v>
      </c>
      <c r="O468" s="42">
        <f>SUM(G468:N468)</f>
        <v>13.666499999999999</v>
      </c>
      <c r="P468" s="42">
        <f>SUMPRODUCT(G468:N468,$G$2:$N$2)*1000/Assumptions!$C$15</f>
        <v>4.9621713900293249</v>
      </c>
      <c r="Q468" s="43">
        <f>IF(ISNUMBER(Finder!$G$5),Finder!$D$8*Assumptions!$C$16*2*ASIN(SQRT(SIN(RADIANS(E468-Finder!$G$5)/2)^2+COS(RADIANS(Finder!$G$5))*COS(RADIANS(E468))*SIN(RADIANS(F468-Finder!$G$6)/2)^2)),"")</f>
        <v>1160.8071667422528</v>
      </c>
      <c r="R468" s="39">
        <f>IF(ISNUMBER(Q468),IF(Q468&lt;=Finder!$D$7,1,0),0)</f>
        <v>0</v>
      </c>
      <c r="S468" s="39" t="str">
        <f>IF(R468=1,O468+ROW()*0.000000001,"")</f>
        <v/>
      </c>
      <c r="T468" s="39" t="str">
        <f>IF(O468&gt;0,INDEX(Calc!$B$4:$B$11,MATCH(MAX(G468:N468),G468:N468,0)),"-")</f>
        <v>Paddy Straw</v>
      </c>
    </row>
    <row r="469" spans="1:20">
      <c r="A469" s="39">
        <v>466</v>
      </c>
      <c r="B469" s="39" t="s">
        <v>531</v>
      </c>
      <c r="C469" s="39" t="s">
        <v>546</v>
      </c>
      <c r="D469" s="39" t="str">
        <f>B469&amp;"|"&amp;C469</f>
        <v>Odisha|Kalahandi</v>
      </c>
      <c r="E469" s="40">
        <v>19.91</v>
      </c>
      <c r="F469" s="40">
        <v>83.17</v>
      </c>
      <c r="G469" s="41">
        <v>104.58</v>
      </c>
      <c r="H469" s="41">
        <v>0</v>
      </c>
      <c r="I469" s="41">
        <v>2.8378999999999999</v>
      </c>
      <c r="J469" s="41">
        <v>0.20910000000000001</v>
      </c>
      <c r="K469" s="41">
        <v>1.5029999999999999</v>
      </c>
      <c r="L469" s="41">
        <v>0.1754</v>
      </c>
      <c r="M469" s="41">
        <v>0</v>
      </c>
      <c r="N469" s="41">
        <v>0</v>
      </c>
      <c r="O469" s="42">
        <f>SUM(G469:N469)</f>
        <v>109.30540000000001</v>
      </c>
      <c r="P469" s="42">
        <f>SUMPRODUCT(G469:N469,$G$2:$N$2)*1000/Assumptions!$C$15</f>
        <v>39.721397484457476</v>
      </c>
      <c r="Q469" s="43">
        <f>IF(ISNUMBER(Finder!$G$5),Finder!$D$8*Assumptions!$C$16*2*ASIN(SQRT(SIN(RADIANS(E469-Finder!$G$5)/2)^2+COS(RADIANS(Finder!$G$5))*COS(RADIANS(E469))*SIN(RADIANS(F469-Finder!$G$6)/2)^2)),"")</f>
        <v>1273.3649694129758</v>
      </c>
      <c r="R469" s="39">
        <f>IF(ISNUMBER(Q469),IF(Q469&lt;=Finder!$D$7,1,0),0)</f>
        <v>0</v>
      </c>
      <c r="S469" s="39" t="str">
        <f>IF(R469=1,O469+ROW()*0.000000001,"")</f>
        <v/>
      </c>
      <c r="T469" s="39" t="str">
        <f>IF(O469&gt;0,INDEX(Calc!$B$4:$B$11,MATCH(MAX(G469:N469),G469:N469,0)),"-")</f>
        <v>Paddy Straw</v>
      </c>
    </row>
    <row r="470" spans="1:20">
      <c r="A470" s="39">
        <v>467</v>
      </c>
      <c r="B470" s="39" t="s">
        <v>531</v>
      </c>
      <c r="C470" s="39" t="s">
        <v>547</v>
      </c>
      <c r="D470" s="39" t="str">
        <f>B470&amp;"|"&amp;C470</f>
        <v>Odisha|Kandhamal</v>
      </c>
      <c r="E470" s="40">
        <v>20.47</v>
      </c>
      <c r="F470" s="40">
        <v>84.23</v>
      </c>
      <c r="G470" s="41">
        <v>17.64</v>
      </c>
      <c r="H470" s="41">
        <v>0</v>
      </c>
      <c r="I470" s="41">
        <v>1.4834000000000001</v>
      </c>
      <c r="J470" s="41">
        <v>8.43E-2</v>
      </c>
      <c r="K470" s="41">
        <v>0</v>
      </c>
      <c r="L470" s="41">
        <v>0</v>
      </c>
      <c r="M470" s="41">
        <v>0</v>
      </c>
      <c r="N470" s="41">
        <v>0</v>
      </c>
      <c r="O470" s="42">
        <f>SUM(G470:N470)</f>
        <v>19.207699999999999</v>
      </c>
      <c r="P470" s="42">
        <f>SUMPRODUCT(G470:N470,$G$2:$N$2)*1000/Assumptions!$C$15</f>
        <v>6.927205845161291</v>
      </c>
      <c r="Q470" s="43">
        <f>IF(ISNUMBER(Finder!$G$5),Finder!$D$8*Assumptions!$C$16*2*ASIN(SQRT(SIN(RADIANS(E470-Finder!$G$5)/2)^2+COS(RADIANS(Finder!$G$5))*COS(RADIANS(E470))*SIN(RADIANS(F470-Finder!$G$6)/2)^2)),"")</f>
        <v>1291.0319022423239</v>
      </c>
      <c r="R470" s="39">
        <f>IF(ISNUMBER(Q470),IF(Q470&lt;=Finder!$D$7,1,0),0)</f>
        <v>0</v>
      </c>
      <c r="S470" s="39" t="str">
        <f>IF(R470=1,O470+ROW()*0.000000001,"")</f>
        <v/>
      </c>
      <c r="T470" s="39" t="str">
        <f>IF(O470&gt;0,INDEX(Calc!$B$4:$B$11,MATCH(MAX(G470:N470),G470:N470,0)),"-")</f>
        <v>Paddy Straw</v>
      </c>
    </row>
    <row r="471" spans="1:20">
      <c r="A471" s="39">
        <v>468</v>
      </c>
      <c r="B471" s="39" t="s">
        <v>531</v>
      </c>
      <c r="C471" s="39" t="s">
        <v>548</v>
      </c>
      <c r="D471" s="39" t="str">
        <f>B471&amp;"|"&amp;C471</f>
        <v>Odisha|Kendrapara</v>
      </c>
      <c r="E471" s="40">
        <v>20.5</v>
      </c>
      <c r="F471" s="40">
        <v>86.42</v>
      </c>
      <c r="G471" s="41">
        <v>52.5</v>
      </c>
      <c r="H471" s="41">
        <v>0</v>
      </c>
      <c r="I471" s="41">
        <v>4.5999999999999999E-3</v>
      </c>
      <c r="J471" s="41">
        <v>3.0300000000000001E-2</v>
      </c>
      <c r="K471" s="41">
        <v>0.26090000000000002</v>
      </c>
      <c r="L471" s="41">
        <v>3.04E-2</v>
      </c>
      <c r="M471" s="41">
        <v>0</v>
      </c>
      <c r="N471" s="41">
        <v>0</v>
      </c>
      <c r="O471" s="42">
        <f>SUM(G471:N471)</f>
        <v>52.8262</v>
      </c>
      <c r="P471" s="42">
        <f>SUMPRODUCT(G471:N471,$G$2:$N$2)*1000/Assumptions!$C$15</f>
        <v>19.339552531378299</v>
      </c>
      <c r="Q471" s="43">
        <f>IF(ISNUMBER(Finder!$G$5),Finder!$D$8*Assumptions!$C$16*2*ASIN(SQRT(SIN(RADIANS(E471-Finder!$G$5)/2)^2+COS(RADIANS(Finder!$G$5))*COS(RADIANS(E471))*SIN(RADIANS(F471-Finder!$G$6)/2)^2)),"")</f>
        <v>1444.6271184975578</v>
      </c>
      <c r="R471" s="39">
        <f>IF(ISNUMBER(Q471),IF(Q471&lt;=Finder!$D$7,1,0),0)</f>
        <v>0</v>
      </c>
      <c r="S471" s="39" t="str">
        <f>IF(R471=1,O471+ROW()*0.000000001,"")</f>
        <v/>
      </c>
      <c r="T471" s="39" t="str">
        <f>IF(O471&gt;0,INDEX(Calc!$B$4:$B$11,MATCH(MAX(G471:N471),G471:N471,0)),"-")</f>
        <v>Paddy Straw</v>
      </c>
    </row>
    <row r="472" spans="1:20">
      <c r="A472" s="39">
        <v>469</v>
      </c>
      <c r="B472" s="39" t="s">
        <v>531</v>
      </c>
      <c r="C472" s="39" t="s">
        <v>549</v>
      </c>
      <c r="D472" s="39" t="str">
        <f>B472&amp;"|"&amp;C472</f>
        <v>Odisha|Keonjhar</v>
      </c>
      <c r="E472" s="40">
        <v>21.63</v>
      </c>
      <c r="F472" s="40">
        <v>85.58</v>
      </c>
      <c r="G472" s="41">
        <v>73.08</v>
      </c>
      <c r="H472" s="41">
        <v>0</v>
      </c>
      <c r="I472" s="41">
        <v>3.8614999999999999</v>
      </c>
      <c r="J472" s="41">
        <v>0.1686</v>
      </c>
      <c r="K472" s="41">
        <v>0</v>
      </c>
      <c r="L472" s="41">
        <v>0</v>
      </c>
      <c r="M472" s="41">
        <v>0</v>
      </c>
      <c r="N472" s="41">
        <v>0</v>
      </c>
      <c r="O472" s="42">
        <f>SUM(G472:N472)</f>
        <v>77.110100000000003</v>
      </c>
      <c r="P472" s="42">
        <f>SUMPRODUCT(G472:N472,$G$2:$N$2)*1000/Assumptions!$C$15</f>
        <v>27.973366896187688</v>
      </c>
      <c r="Q472" s="43">
        <f>IF(ISNUMBER(Finder!$G$5),Finder!$D$8*Assumptions!$C$16*2*ASIN(SQRT(SIN(RADIANS(E472-Finder!$G$5)/2)^2+COS(RADIANS(Finder!$G$5))*COS(RADIANS(E472))*SIN(RADIANS(F472-Finder!$G$6)/2)^2)),"")</f>
        <v>1295.1653077586932</v>
      </c>
      <c r="R472" s="39">
        <f>IF(ISNUMBER(Q472),IF(Q472&lt;=Finder!$D$7,1,0),0)</f>
        <v>0</v>
      </c>
      <c r="S472" s="39" t="str">
        <f>IF(R472=1,O472+ROW()*0.000000001,"")</f>
        <v/>
      </c>
      <c r="T472" s="39" t="str">
        <f>IF(O472&gt;0,INDEX(Calc!$B$4:$B$11,MATCH(MAX(G472:N472),G472:N472,0)),"-")</f>
        <v>Paddy Straw</v>
      </c>
    </row>
    <row r="473" spans="1:20">
      <c r="A473" s="39">
        <v>470</v>
      </c>
      <c r="B473" s="39" t="s">
        <v>531</v>
      </c>
      <c r="C473" s="39" t="s">
        <v>550</v>
      </c>
      <c r="D473" s="39" t="str">
        <f>B473&amp;"|"&amp;C473</f>
        <v>Odisha|Khordha</v>
      </c>
      <c r="E473" s="40">
        <v>20.18</v>
      </c>
      <c r="F473" s="40">
        <v>85.62</v>
      </c>
      <c r="G473" s="41">
        <v>36.96</v>
      </c>
      <c r="H473" s="41">
        <v>0</v>
      </c>
      <c r="I473" s="41">
        <v>9.1999999999999998E-3</v>
      </c>
      <c r="J473" s="41">
        <v>5.9999999999999995E-4</v>
      </c>
      <c r="K473" s="41">
        <v>3.1537999999999999</v>
      </c>
      <c r="L473" s="41">
        <v>0.3679</v>
      </c>
      <c r="M473" s="41">
        <v>0</v>
      </c>
      <c r="N473" s="41">
        <v>0</v>
      </c>
      <c r="O473" s="42">
        <f>SUM(G473:N473)</f>
        <v>40.491499999999995</v>
      </c>
      <c r="P473" s="42">
        <f>SUMPRODUCT(G473:N473,$G$2:$N$2)*1000/Assumptions!$C$15</f>
        <v>14.580535963929615</v>
      </c>
      <c r="Q473" s="43">
        <f>IF(ISNUMBER(Finder!$G$5),Finder!$D$8*Assumptions!$C$16*2*ASIN(SQRT(SIN(RADIANS(E473-Finder!$G$5)/2)^2+COS(RADIANS(Finder!$G$5))*COS(RADIANS(E473))*SIN(RADIANS(F473-Finder!$G$6)/2)^2)),"")</f>
        <v>1411.3304940382834</v>
      </c>
      <c r="R473" s="39">
        <f>IF(ISNUMBER(Q473),IF(Q473&lt;=Finder!$D$7,1,0),0)</f>
        <v>0</v>
      </c>
      <c r="S473" s="39" t="str">
        <f>IF(R473=1,O473+ROW()*0.000000001,"")</f>
        <v/>
      </c>
      <c r="T473" s="39" t="str">
        <f>IF(O473&gt;0,INDEX(Calc!$B$4:$B$11,MATCH(MAX(G473:N473),G473:N473,0)),"-")</f>
        <v>Paddy Straw</v>
      </c>
    </row>
    <row r="474" spans="1:20">
      <c r="A474" s="39">
        <v>471</v>
      </c>
      <c r="B474" s="39" t="s">
        <v>531</v>
      </c>
      <c r="C474" s="39" t="s">
        <v>551</v>
      </c>
      <c r="D474" s="39" t="str">
        <f>B474&amp;"|"&amp;C474</f>
        <v>Odisha|Koraput</v>
      </c>
      <c r="E474" s="40">
        <v>18.809999999999999</v>
      </c>
      <c r="F474" s="40">
        <v>82.71</v>
      </c>
      <c r="G474" s="41">
        <v>50.82</v>
      </c>
      <c r="H474" s="41">
        <v>0</v>
      </c>
      <c r="I474" s="41">
        <v>9.6942000000000004</v>
      </c>
      <c r="J474" s="41">
        <v>2.6200000000000001E-2</v>
      </c>
      <c r="K474" s="41">
        <v>5.4987000000000004</v>
      </c>
      <c r="L474" s="41">
        <v>0.64149999999999996</v>
      </c>
      <c r="M474" s="41">
        <v>0</v>
      </c>
      <c r="N474" s="41">
        <v>0</v>
      </c>
      <c r="O474" s="42">
        <f>SUM(G474:N474)</f>
        <v>66.680599999999998</v>
      </c>
      <c r="P474" s="42">
        <f>SUMPRODUCT(G474:N474,$G$2:$N$2)*1000/Assumptions!$C$15</f>
        <v>23.28334539501466</v>
      </c>
      <c r="Q474" s="43">
        <f>IF(ISNUMBER(Finder!$G$5),Finder!$D$8*Assumptions!$C$16*2*ASIN(SQRT(SIN(RADIANS(E474-Finder!$G$5)/2)^2+COS(RADIANS(Finder!$G$5))*COS(RADIANS(E474))*SIN(RADIANS(F474-Finder!$G$6)/2)^2)),"")</f>
        <v>1350.549886041111</v>
      </c>
      <c r="R474" s="39">
        <f>IF(ISNUMBER(Q474),IF(Q474&lt;=Finder!$D$7,1,0),0)</f>
        <v>0</v>
      </c>
      <c r="S474" s="39" t="str">
        <f>IF(R474=1,O474+ROW()*0.000000001,"")</f>
        <v/>
      </c>
      <c r="T474" s="39" t="str">
        <f>IF(O474&gt;0,INDEX(Calc!$B$4:$B$11,MATCH(MAX(G474:N474),G474:N474,0)),"-")</f>
        <v>Paddy Straw</v>
      </c>
    </row>
    <row r="475" spans="1:20">
      <c r="A475" s="39">
        <v>472</v>
      </c>
      <c r="B475" s="39" t="s">
        <v>531</v>
      </c>
      <c r="C475" s="39" t="s">
        <v>552</v>
      </c>
      <c r="D475" s="39" t="str">
        <f>B475&amp;"|"&amp;C475</f>
        <v>Odisha|Malkangiri</v>
      </c>
      <c r="E475" s="40">
        <v>18.350000000000001</v>
      </c>
      <c r="F475" s="40">
        <v>81.89</v>
      </c>
      <c r="G475" s="41">
        <v>47.04</v>
      </c>
      <c r="H475" s="41">
        <v>0</v>
      </c>
      <c r="I475" s="41">
        <v>1.2038</v>
      </c>
      <c r="J475" s="41">
        <v>0</v>
      </c>
      <c r="K475" s="41">
        <v>0</v>
      </c>
      <c r="L475" s="41">
        <v>0</v>
      </c>
      <c r="M475" s="41">
        <v>0</v>
      </c>
      <c r="N475" s="41">
        <v>0</v>
      </c>
      <c r="O475" s="42">
        <f>SUM(G475:N475)</f>
        <v>48.2438</v>
      </c>
      <c r="P475" s="42">
        <f>SUMPRODUCT(G475:N475,$G$2:$N$2)*1000/Assumptions!$C$15</f>
        <v>17.596848096187681</v>
      </c>
      <c r="Q475" s="43">
        <f>IF(ISNUMBER(Finder!$G$5),Finder!$D$8*Assumptions!$C$16*2*ASIN(SQRT(SIN(RADIANS(E475-Finder!$G$5)/2)^2+COS(RADIANS(Finder!$G$5))*COS(RADIANS(E475))*SIN(RADIANS(F475-Finder!$G$6)/2)^2)),"")</f>
        <v>1354.477422565385</v>
      </c>
      <c r="R475" s="39">
        <f>IF(ISNUMBER(Q475),IF(Q475&lt;=Finder!$D$7,1,0),0)</f>
        <v>0</v>
      </c>
      <c r="S475" s="39" t="str">
        <f>IF(R475=1,O475+ROW()*0.000000001,"")</f>
        <v/>
      </c>
      <c r="T475" s="39" t="str">
        <f>IF(O475&gt;0,INDEX(Calc!$B$4:$B$11,MATCH(MAX(G475:N475),G475:N475,0)),"-")</f>
        <v>Paddy Straw</v>
      </c>
    </row>
    <row r="476" spans="1:20">
      <c r="A476" s="39">
        <v>473</v>
      </c>
      <c r="B476" s="39" t="s">
        <v>531</v>
      </c>
      <c r="C476" s="39" t="s">
        <v>553</v>
      </c>
      <c r="D476" s="39" t="str">
        <f>B476&amp;"|"&amp;C476</f>
        <v>Odisha|Mayurbhanj</v>
      </c>
      <c r="E476" s="40">
        <v>21.93</v>
      </c>
      <c r="F476" s="40">
        <v>86.73</v>
      </c>
      <c r="G476" s="41">
        <v>148.26</v>
      </c>
      <c r="H476" s="41">
        <v>0</v>
      </c>
      <c r="I476" s="41">
        <v>0.40210000000000001</v>
      </c>
      <c r="J476" s="41">
        <v>9.2399999999999996E-2</v>
      </c>
      <c r="K476" s="41">
        <v>0</v>
      </c>
      <c r="L476" s="41">
        <v>0</v>
      </c>
      <c r="M476" s="41">
        <v>0</v>
      </c>
      <c r="N476" s="41">
        <v>0</v>
      </c>
      <c r="O476" s="42">
        <f>SUM(G476:N476)</f>
        <v>148.75449999999998</v>
      </c>
      <c r="P476" s="42">
        <f>SUMPRODUCT(G476:N476,$G$2:$N$2)*1000/Assumptions!$C$15</f>
        <v>54.490806340175943</v>
      </c>
      <c r="Q476" s="43">
        <f>IF(ISNUMBER(Finder!$G$5),Finder!$D$8*Assumptions!$C$16*2*ASIN(SQRT(SIN(RADIANS(E476-Finder!$G$5)/2)^2+COS(RADIANS(Finder!$G$5))*COS(RADIANS(E476))*SIN(RADIANS(F476-Finder!$G$6)/2)^2)),"")</f>
        <v>1364.297963202526</v>
      </c>
      <c r="R476" s="39">
        <f>IF(ISNUMBER(Q476),IF(Q476&lt;=Finder!$D$7,1,0),0)</f>
        <v>0</v>
      </c>
      <c r="S476" s="39" t="str">
        <f>IF(R476=1,O476+ROW()*0.000000001,"")</f>
        <v/>
      </c>
      <c r="T476" s="39" t="str">
        <f>IF(O476&gt;0,INDEX(Calc!$B$4:$B$11,MATCH(MAX(G476:N476),G476:N476,0)),"-")</f>
        <v>Paddy Straw</v>
      </c>
    </row>
    <row r="477" spans="1:20">
      <c r="A477" s="39">
        <v>474</v>
      </c>
      <c r="B477" s="39" t="s">
        <v>531</v>
      </c>
      <c r="C477" s="39" t="s">
        <v>554</v>
      </c>
      <c r="D477" s="39" t="str">
        <f>B477&amp;"|"&amp;C477</f>
        <v>Odisha|Nabarangpur</v>
      </c>
      <c r="E477" s="40">
        <v>19.23</v>
      </c>
      <c r="F477" s="40">
        <v>82.55</v>
      </c>
      <c r="G477" s="41">
        <v>42.42</v>
      </c>
      <c r="H477" s="41">
        <v>0</v>
      </c>
      <c r="I477" s="41">
        <v>174.51339999999999</v>
      </c>
      <c r="J477" s="41">
        <v>0</v>
      </c>
      <c r="K477" s="41">
        <v>21.5867</v>
      </c>
      <c r="L477" s="41">
        <v>2.5184000000000002</v>
      </c>
      <c r="M477" s="41">
        <v>0</v>
      </c>
      <c r="N477" s="41">
        <v>0</v>
      </c>
      <c r="O477" s="42">
        <f>SUM(G477:N477)</f>
        <v>241.03850000000003</v>
      </c>
      <c r="P477" s="42">
        <f>SUMPRODUCT(G477:N477,$G$2:$N$2)*1000/Assumptions!$C$15</f>
        <v>73.936618247507326</v>
      </c>
      <c r="Q477" s="43">
        <f>IF(ISNUMBER(Finder!$G$5),Finder!$D$8*Assumptions!$C$16*2*ASIN(SQRT(SIN(RADIANS(E477-Finder!$G$5)/2)^2+COS(RADIANS(Finder!$G$5))*COS(RADIANS(E477))*SIN(RADIANS(F477-Finder!$G$6)/2)^2)),"")</f>
        <v>1301.7835678371539</v>
      </c>
      <c r="R477" s="39">
        <f>IF(ISNUMBER(Q477),IF(Q477&lt;=Finder!$D$7,1,0),0)</f>
        <v>0</v>
      </c>
      <c r="S477" s="39" t="str">
        <f>IF(R477=1,O477+ROW()*0.000000001,"")</f>
        <v/>
      </c>
      <c r="T477" s="39" t="str">
        <f>IF(O477&gt;0,INDEX(Calc!$B$4:$B$11,MATCH(MAX(G477:N477),G477:N477,0)),"-")</f>
        <v>Maize Stover</v>
      </c>
    </row>
    <row r="478" spans="1:20">
      <c r="A478" s="39">
        <v>475</v>
      </c>
      <c r="B478" s="39" t="s">
        <v>531</v>
      </c>
      <c r="C478" s="39" t="s">
        <v>555</v>
      </c>
      <c r="D478" s="39" t="str">
        <f>B478&amp;"|"&amp;C478</f>
        <v>Odisha|Nayagarh</v>
      </c>
      <c r="E478" s="40">
        <v>20.13</v>
      </c>
      <c r="F478" s="40">
        <v>85.1</v>
      </c>
      <c r="G478" s="41">
        <v>36.54</v>
      </c>
      <c r="H478" s="41">
        <v>0</v>
      </c>
      <c r="I478" s="41">
        <v>1.2325999999999999</v>
      </c>
      <c r="J478" s="41">
        <v>4.1000000000000002E-2</v>
      </c>
      <c r="K478" s="41">
        <v>2.9129999999999998</v>
      </c>
      <c r="L478" s="41">
        <v>0.33989999999999998</v>
      </c>
      <c r="M478" s="41">
        <v>0</v>
      </c>
      <c r="N478" s="41">
        <v>0</v>
      </c>
      <c r="O478" s="42">
        <f>SUM(G478:N478)</f>
        <v>41.066499999999991</v>
      </c>
      <c r="P478" s="42">
        <f>SUMPRODUCT(G478:N478,$G$2:$N$2)*1000/Assumptions!$C$15</f>
        <v>14.719752613782992</v>
      </c>
      <c r="Q478" s="43">
        <f>IF(ISNUMBER(Finder!$G$5),Finder!$D$8*Assumptions!$C$16*2*ASIN(SQRT(SIN(RADIANS(E478-Finder!$G$5)/2)^2+COS(RADIANS(Finder!$G$5))*COS(RADIANS(E478))*SIN(RADIANS(F478-Finder!$G$6)/2)^2)),"")</f>
        <v>1378.8974602786395</v>
      </c>
      <c r="R478" s="39">
        <f>IF(ISNUMBER(Q478),IF(Q478&lt;=Finder!$D$7,1,0),0)</f>
        <v>0</v>
      </c>
      <c r="S478" s="39" t="str">
        <f>IF(R478=1,O478+ROW()*0.000000001,"")</f>
        <v/>
      </c>
      <c r="T478" s="39" t="str">
        <f>IF(O478&gt;0,INDEX(Calc!$B$4:$B$11,MATCH(MAX(G478:N478),G478:N478,0)),"-")</f>
        <v>Paddy Straw</v>
      </c>
    </row>
    <row r="479" spans="1:20">
      <c r="A479" s="39">
        <v>476</v>
      </c>
      <c r="B479" s="39" t="s">
        <v>531</v>
      </c>
      <c r="C479" s="39" t="s">
        <v>556</v>
      </c>
      <c r="D479" s="39" t="str">
        <f>B479&amp;"|"&amp;C479</f>
        <v>Odisha|Nuapada</v>
      </c>
      <c r="E479" s="40">
        <v>20.82</v>
      </c>
      <c r="F479" s="40">
        <v>82.54</v>
      </c>
      <c r="G479" s="41">
        <v>27.3</v>
      </c>
      <c r="H479" s="41">
        <v>0</v>
      </c>
      <c r="I479" s="41">
        <v>2.9712000000000001</v>
      </c>
      <c r="J479" s="41">
        <v>6.5500000000000003E-2</v>
      </c>
      <c r="K479" s="41">
        <v>0.37059999999999998</v>
      </c>
      <c r="L479" s="41">
        <v>4.3200000000000002E-2</v>
      </c>
      <c r="M479" s="41">
        <v>0</v>
      </c>
      <c r="N479" s="41">
        <v>0</v>
      </c>
      <c r="O479" s="42">
        <f>SUM(G479:N479)</f>
        <v>30.750499999999999</v>
      </c>
      <c r="P479" s="42">
        <f>SUMPRODUCT(G479:N479,$G$2:$N$2)*1000/Assumptions!$C$15</f>
        <v>11.021280988856306</v>
      </c>
      <c r="Q479" s="43">
        <f>IF(ISNUMBER(Finder!$G$5),Finder!$D$8*Assumptions!$C$16*2*ASIN(SQRT(SIN(RADIANS(E479-Finder!$G$5)/2)^2+COS(RADIANS(Finder!$G$5))*COS(RADIANS(E479))*SIN(RADIANS(F479-Finder!$G$6)/2)^2)),"")</f>
        <v>1152.8070446914967</v>
      </c>
      <c r="R479" s="39">
        <f>IF(ISNUMBER(Q479),IF(Q479&lt;=Finder!$D$7,1,0),0)</f>
        <v>0</v>
      </c>
      <c r="S479" s="39" t="str">
        <f>IF(R479=1,O479+ROW()*0.000000001,"")</f>
        <v/>
      </c>
      <c r="T479" s="39" t="str">
        <f>IF(O479&gt;0,INDEX(Calc!$B$4:$B$11,MATCH(MAX(G479:N479),G479:N479,0)),"-")</f>
        <v>Paddy Straw</v>
      </c>
    </row>
    <row r="480" spans="1:20">
      <c r="A480" s="39">
        <v>477</v>
      </c>
      <c r="B480" s="39" t="s">
        <v>531</v>
      </c>
      <c r="C480" s="39" t="s">
        <v>557</v>
      </c>
      <c r="D480" s="39" t="str">
        <f>B480&amp;"|"&amp;C480</f>
        <v>Odisha|Puri</v>
      </c>
      <c r="E480" s="40">
        <v>19.809999999999999</v>
      </c>
      <c r="F480" s="40">
        <v>85.83</v>
      </c>
      <c r="G480" s="41">
        <v>51.24</v>
      </c>
      <c r="H480" s="41">
        <v>0</v>
      </c>
      <c r="I480" s="41">
        <v>0</v>
      </c>
      <c r="J480" s="41">
        <v>7.3000000000000001E-3</v>
      </c>
      <c r="K480" s="41">
        <v>0</v>
      </c>
      <c r="L480" s="41">
        <v>0</v>
      </c>
      <c r="M480" s="41">
        <v>0</v>
      </c>
      <c r="N480" s="41">
        <v>0</v>
      </c>
      <c r="O480" s="42">
        <f>SUM(G480:N480)</f>
        <v>51.247300000000003</v>
      </c>
      <c r="P480" s="42">
        <f>SUMPRODUCT(G480:N480,$G$2:$N$2)*1000/Assumptions!$C$15</f>
        <v>18.784387409970673</v>
      </c>
      <c r="Q480" s="43">
        <f>IF(ISNUMBER(Finder!$G$5),Finder!$D$8*Assumptions!$C$16*2*ASIN(SQRT(SIN(RADIANS(E480-Finder!$G$5)/2)^2+COS(RADIANS(Finder!$G$5))*COS(RADIANS(E480))*SIN(RADIANS(F480-Finder!$G$6)/2)^2)),"")</f>
        <v>1456.4189665727342</v>
      </c>
      <c r="R480" s="39">
        <f>IF(ISNUMBER(Q480),IF(Q480&lt;=Finder!$D$7,1,0),0)</f>
        <v>0</v>
      </c>
      <c r="S480" s="39" t="str">
        <f>IF(R480=1,O480+ROW()*0.000000001,"")</f>
        <v/>
      </c>
      <c r="T480" s="39" t="str">
        <f>IF(O480&gt;0,INDEX(Calc!$B$4:$B$11,MATCH(MAX(G480:N480),G480:N480,0)),"-")</f>
        <v>Paddy Straw</v>
      </c>
    </row>
    <row r="481" spans="1:20">
      <c r="A481" s="39">
        <v>478</v>
      </c>
      <c r="B481" s="39" t="s">
        <v>531</v>
      </c>
      <c r="C481" s="39" t="s">
        <v>558</v>
      </c>
      <c r="D481" s="39" t="str">
        <f>B481&amp;"|"&amp;C481</f>
        <v>Odisha|Rayagada</v>
      </c>
      <c r="E481" s="40">
        <v>19.170000000000002</v>
      </c>
      <c r="F481" s="40">
        <v>83.42</v>
      </c>
      <c r="G481" s="41">
        <v>22.26</v>
      </c>
      <c r="H481" s="41">
        <v>0</v>
      </c>
      <c r="I481" s="41">
        <v>4.6577000000000002</v>
      </c>
      <c r="J481" s="41">
        <v>6.4399999999999999E-2</v>
      </c>
      <c r="K481" s="41">
        <v>0</v>
      </c>
      <c r="L481" s="41">
        <v>0</v>
      </c>
      <c r="M481" s="41">
        <v>0</v>
      </c>
      <c r="N481" s="41">
        <v>0</v>
      </c>
      <c r="O481" s="42">
        <f>SUM(G481:N481)</f>
        <v>26.982100000000003</v>
      </c>
      <c r="P481" s="42">
        <f>SUMPRODUCT(G481:N481,$G$2:$N$2)*1000/Assumptions!$C$15</f>
        <v>9.5486536175953081</v>
      </c>
      <c r="Q481" s="43">
        <f>IF(ISNUMBER(Finder!$G$5),Finder!$D$8*Assumptions!$C$16*2*ASIN(SQRT(SIN(RADIANS(E481-Finder!$G$5)/2)^2+COS(RADIANS(Finder!$G$5))*COS(RADIANS(E481))*SIN(RADIANS(F481-Finder!$G$6)/2)^2)),"")</f>
        <v>1356.1474195268431</v>
      </c>
      <c r="R481" s="39">
        <f>IF(ISNUMBER(Q481),IF(Q481&lt;=Finder!$D$7,1,0),0)</f>
        <v>0</v>
      </c>
      <c r="S481" s="39" t="str">
        <f>IF(R481=1,O481+ROW()*0.000000001,"")</f>
        <v/>
      </c>
      <c r="T481" s="39" t="str">
        <f>IF(O481&gt;0,INDEX(Calc!$B$4:$B$11,MATCH(MAX(G481:N481),G481:N481,0)),"-")</f>
        <v>Paddy Straw</v>
      </c>
    </row>
    <row r="482" spans="1:20">
      <c r="A482" s="39">
        <v>479</v>
      </c>
      <c r="B482" s="39" t="s">
        <v>531</v>
      </c>
      <c r="C482" s="39" t="s">
        <v>559</v>
      </c>
      <c r="D482" s="39" t="str">
        <f>B482&amp;"|"&amp;C482</f>
        <v>Odisha|Sambalpur</v>
      </c>
      <c r="E482" s="40">
        <v>21.47</v>
      </c>
      <c r="F482" s="40">
        <v>83.97</v>
      </c>
      <c r="G482" s="41">
        <v>47.04</v>
      </c>
      <c r="H482" s="41">
        <v>0</v>
      </c>
      <c r="I482" s="41">
        <v>0.15409999999999999</v>
      </c>
      <c r="J482" s="41">
        <v>0.58079999999999998</v>
      </c>
      <c r="K482" s="41">
        <v>0</v>
      </c>
      <c r="L482" s="41">
        <v>0</v>
      </c>
      <c r="M482" s="41">
        <v>0</v>
      </c>
      <c r="N482" s="41">
        <v>0</v>
      </c>
      <c r="O482" s="42">
        <f>SUM(G482:N482)</f>
        <v>47.774900000000002</v>
      </c>
      <c r="P482" s="42">
        <f>SUMPRODUCT(G482:N482,$G$2:$N$2)*1000/Assumptions!$C$15</f>
        <v>17.458906241642225</v>
      </c>
      <c r="Q482" s="43">
        <f>IF(ISNUMBER(Finder!$G$5),Finder!$D$8*Assumptions!$C$16*2*ASIN(SQRT(SIN(RADIANS(E482-Finder!$G$5)/2)^2+COS(RADIANS(Finder!$G$5))*COS(RADIANS(E482))*SIN(RADIANS(F482-Finder!$G$6)/2)^2)),"")</f>
        <v>1189.5686300959205</v>
      </c>
      <c r="R482" s="39">
        <f>IF(ISNUMBER(Q482),IF(Q482&lt;=Finder!$D$7,1,0),0)</f>
        <v>0</v>
      </c>
      <c r="S482" s="39" t="str">
        <f>IF(R482=1,O482+ROW()*0.000000001,"")</f>
        <v/>
      </c>
      <c r="T482" s="39" t="str">
        <f>IF(O482&gt;0,INDEX(Calc!$B$4:$B$11,MATCH(MAX(G482:N482),G482:N482,0)),"-")</f>
        <v>Paddy Straw</v>
      </c>
    </row>
    <row r="483" spans="1:20">
      <c r="A483" s="39">
        <v>480</v>
      </c>
      <c r="B483" s="39" t="s">
        <v>531</v>
      </c>
      <c r="C483" s="39" t="s">
        <v>560</v>
      </c>
      <c r="D483" s="39" t="str">
        <f>B483&amp;"|"&amp;C483</f>
        <v>Odisha|Sonepur</v>
      </c>
      <c r="E483" s="40">
        <v>20.83</v>
      </c>
      <c r="F483" s="40">
        <v>83.92</v>
      </c>
      <c r="G483" s="41">
        <v>56.28</v>
      </c>
      <c r="H483" s="41">
        <v>0</v>
      </c>
      <c r="I483" s="41">
        <v>0</v>
      </c>
      <c r="J483" s="41">
        <v>0</v>
      </c>
      <c r="K483" s="41">
        <v>0</v>
      </c>
      <c r="L483" s="41">
        <v>0</v>
      </c>
      <c r="M483" s="41">
        <v>0</v>
      </c>
      <c r="N483" s="41">
        <v>0</v>
      </c>
      <c r="O483" s="42">
        <f>SUM(G483:N483)</f>
        <v>56.28</v>
      </c>
      <c r="P483" s="42">
        <f>SUMPRODUCT(G483:N483,$G$2:$N$2)*1000/Assumptions!$C$15</f>
        <v>20.629673313782991</v>
      </c>
      <c r="Q483" s="43">
        <f>IF(ISNUMBER(Finder!$G$5),Finder!$D$8*Assumptions!$C$16*2*ASIN(SQRT(SIN(RADIANS(E483-Finder!$G$5)/2)^2+COS(RADIANS(Finder!$G$5))*COS(RADIANS(E483))*SIN(RADIANS(F483-Finder!$G$6)/2)^2)),"")</f>
        <v>1239.6340041895394</v>
      </c>
      <c r="R483" s="39">
        <f>IF(ISNUMBER(Q483),IF(Q483&lt;=Finder!$D$7,1,0),0)</f>
        <v>0</v>
      </c>
      <c r="S483" s="39" t="str">
        <f>IF(R483=1,O483+ROW()*0.000000001,"")</f>
        <v/>
      </c>
      <c r="T483" s="39" t="str">
        <f>IF(O483&gt;0,INDEX(Calc!$B$4:$B$11,MATCH(MAX(G483:N483),G483:N483,0)),"-")</f>
        <v>Paddy Straw</v>
      </c>
    </row>
    <row r="484" spans="1:20">
      <c r="A484" s="39">
        <v>481</v>
      </c>
      <c r="B484" s="39" t="s">
        <v>531</v>
      </c>
      <c r="C484" s="39" t="s">
        <v>561</v>
      </c>
      <c r="D484" s="39" t="str">
        <f>B484&amp;"|"&amp;C484</f>
        <v>Odisha|Sundargarh</v>
      </c>
      <c r="E484" s="40">
        <v>22.12</v>
      </c>
      <c r="F484" s="40">
        <v>84.03</v>
      </c>
      <c r="G484" s="41">
        <v>54.6</v>
      </c>
      <c r="H484" s="41">
        <v>0</v>
      </c>
      <c r="I484" s="41">
        <v>3.2031999999999998</v>
      </c>
      <c r="J484" s="41">
        <v>0.86339999999999995</v>
      </c>
      <c r="K484" s="41">
        <v>1.0063</v>
      </c>
      <c r="L484" s="41">
        <v>0.1174</v>
      </c>
      <c r="M484" s="41">
        <v>0</v>
      </c>
      <c r="N484" s="41">
        <v>0</v>
      </c>
      <c r="O484" s="42">
        <f>SUM(G484:N484)</f>
        <v>59.790300000000009</v>
      </c>
      <c r="P484" s="42">
        <f>SUMPRODUCT(G484:N484,$G$2:$N$2)*1000/Assumptions!$C$15</f>
        <v>21.538769739002934</v>
      </c>
      <c r="Q484" s="43">
        <f>IF(ISNUMBER(Finder!$G$5),Finder!$D$8*Assumptions!$C$16*2*ASIN(SQRT(SIN(RADIANS(E484-Finder!$G$5)/2)^2+COS(RADIANS(Finder!$G$5))*COS(RADIANS(E484))*SIN(RADIANS(F484-Finder!$G$6)/2)^2)),"")</f>
        <v>1141.6520500078946</v>
      </c>
      <c r="R484" s="39">
        <f>IF(ISNUMBER(Q484),IF(Q484&lt;=Finder!$D$7,1,0),0)</f>
        <v>0</v>
      </c>
      <c r="S484" s="39" t="str">
        <f>IF(R484=1,O484+ROW()*0.000000001,"")</f>
        <v/>
      </c>
      <c r="T484" s="39" t="str">
        <f>IF(O484&gt;0,INDEX(Calc!$B$4:$B$11,MATCH(MAX(G484:N484),G484:N484,0)),"-")</f>
        <v>Paddy Straw</v>
      </c>
    </row>
    <row r="485" spans="1:20">
      <c r="A485" s="39">
        <v>482</v>
      </c>
      <c r="B485" s="39" t="s">
        <v>562</v>
      </c>
      <c r="C485" s="39" t="s">
        <v>563</v>
      </c>
      <c r="D485" s="39" t="str">
        <f>B485&amp;"|"&amp;C485</f>
        <v>Puducherry|Karaikal</v>
      </c>
      <c r="E485" s="40">
        <v>10.92</v>
      </c>
      <c r="F485" s="40">
        <v>79.84</v>
      </c>
      <c r="G485" s="41">
        <v>2.1</v>
      </c>
      <c r="H485" s="41">
        <v>0</v>
      </c>
      <c r="I485" s="41">
        <v>0</v>
      </c>
      <c r="J485" s="41">
        <v>0</v>
      </c>
      <c r="K485" s="41">
        <v>0</v>
      </c>
      <c r="L485" s="41">
        <v>0</v>
      </c>
      <c r="M485" s="41">
        <v>0</v>
      </c>
      <c r="N485" s="41">
        <v>0</v>
      </c>
      <c r="O485" s="42">
        <f>SUM(G485:N485)</f>
        <v>2.1</v>
      </c>
      <c r="P485" s="42">
        <f>SUMPRODUCT(G485:N485,$G$2:$N$2)*1000/Assumptions!$C$15</f>
        <v>0.76976392961876827</v>
      </c>
      <c r="Q485" s="43">
        <f>IF(ISNUMBER(Finder!$G$5),Finder!$D$8*Assumptions!$C$16*2*ASIN(SQRT(SIN(RADIANS(E485-Finder!$G$5)/2)^2+COS(RADIANS(Finder!$G$5))*COS(RADIANS(E485))*SIN(RADIANS(F485-Finder!$G$6)/2)^2)),"")</f>
        <v>2071.7401361691932</v>
      </c>
      <c r="R485" s="39">
        <f>IF(ISNUMBER(Q485),IF(Q485&lt;=Finder!$D$7,1,0),0)</f>
        <v>0</v>
      </c>
      <c r="S485" s="39" t="str">
        <f>IF(R485=1,O485+ROW()*0.000000001,"")</f>
        <v/>
      </c>
      <c r="T485" s="39" t="str">
        <f>IF(O485&gt;0,INDEX(Calc!$B$4:$B$11,MATCH(MAX(G485:N485),G485:N485,0)),"-")</f>
        <v>Paddy Straw</v>
      </c>
    </row>
    <row r="486" spans="1:20">
      <c r="A486" s="39">
        <v>483</v>
      </c>
      <c r="B486" s="39" t="s">
        <v>562</v>
      </c>
      <c r="C486" s="39" t="s">
        <v>562</v>
      </c>
      <c r="D486" s="39" t="str">
        <f>B486&amp;"|"&amp;C486</f>
        <v>Puducherry|Puducherry</v>
      </c>
      <c r="E486" s="40">
        <v>11.93</v>
      </c>
      <c r="F486" s="40">
        <v>79.83</v>
      </c>
      <c r="G486" s="41">
        <v>5.04</v>
      </c>
      <c r="H486" s="41">
        <v>0</v>
      </c>
      <c r="I486" s="41">
        <v>0</v>
      </c>
      <c r="J486" s="41">
        <v>0</v>
      </c>
      <c r="K486" s="41">
        <v>27.604800000000001</v>
      </c>
      <c r="L486" s="41">
        <v>3.2206000000000001</v>
      </c>
      <c r="M486" s="41">
        <v>0</v>
      </c>
      <c r="N486" s="41">
        <v>0</v>
      </c>
      <c r="O486" s="42">
        <f>SUM(G486:N486)</f>
        <v>35.865400000000001</v>
      </c>
      <c r="P486" s="42">
        <f>SUMPRODUCT(G486:N486,$G$2:$N$2)*1000/Assumptions!$C$15</f>
        <v>10.861256730205277</v>
      </c>
      <c r="Q486" s="43">
        <f>IF(ISNUMBER(Finder!$G$5),Finder!$D$8*Assumptions!$C$16*2*ASIN(SQRT(SIN(RADIANS(E486-Finder!$G$5)/2)^2+COS(RADIANS(Finder!$G$5))*COS(RADIANS(E486))*SIN(RADIANS(F486-Finder!$G$6)/2)^2)),"")</f>
        <v>1961.5151898052006</v>
      </c>
      <c r="R486" s="39">
        <f>IF(ISNUMBER(Q486),IF(Q486&lt;=Finder!$D$7,1,0),0)</f>
        <v>0</v>
      </c>
      <c r="S486" s="39" t="str">
        <f>IF(R486=1,O486+ROW()*0.000000001,"")</f>
        <v/>
      </c>
      <c r="T486" s="39" t="str">
        <f>IF(O486&gt;0,INDEX(Calc!$B$4:$B$11,MATCH(MAX(G486:N486),G486:N486,0)),"-")</f>
        <v>Cane Trash</v>
      </c>
    </row>
    <row r="487" spans="1:20">
      <c r="A487" s="39">
        <v>484</v>
      </c>
      <c r="B487" s="39" t="s">
        <v>564</v>
      </c>
      <c r="C487" s="39" t="s">
        <v>565</v>
      </c>
      <c r="D487" s="39" t="str">
        <f>B487&amp;"|"&amp;C487</f>
        <v>Punjab|Amritsar</v>
      </c>
      <c r="E487" s="40">
        <v>31.63</v>
      </c>
      <c r="F487" s="40">
        <v>74.87</v>
      </c>
      <c r="G487" s="41">
        <v>76.44</v>
      </c>
      <c r="H487" s="41">
        <v>83.7</v>
      </c>
      <c r="I487" s="41">
        <v>3.6225000000000001</v>
      </c>
      <c r="J487" s="41">
        <v>2.5112000000000001</v>
      </c>
      <c r="K487" s="41">
        <v>92.34</v>
      </c>
      <c r="L487" s="41">
        <v>10.773</v>
      </c>
      <c r="M487" s="41">
        <v>0</v>
      </c>
      <c r="N487" s="41">
        <v>0</v>
      </c>
      <c r="O487" s="42">
        <f>SUM(G487:N487)</f>
        <v>269.38670000000002</v>
      </c>
      <c r="P487" s="42">
        <f>SUMPRODUCT(G487:N487,$G$2:$N$2)*1000/Assumptions!$C$15</f>
        <v>90.65627879237536</v>
      </c>
      <c r="Q487" s="43">
        <f>IF(ISNUMBER(Finder!$G$5),Finder!$D$8*Assumptions!$C$16*2*ASIN(SQRT(SIN(RADIANS(E487-Finder!$G$5)/2)^2+COS(RADIANS(Finder!$G$5))*COS(RADIANS(E487))*SIN(RADIANS(F487-Finder!$G$6)/2)^2)),"")</f>
        <v>287.55933111758497</v>
      </c>
      <c r="R487" s="39">
        <f>IF(ISNUMBER(Q487),IF(Q487&lt;=Finder!$D$7,1,0),0)</f>
        <v>0</v>
      </c>
      <c r="S487" s="39" t="str">
        <f>IF(R487=1,O487+ROW()*0.000000001,"")</f>
        <v/>
      </c>
      <c r="T487" s="39" t="str">
        <f>IF(O487&gt;0,INDEX(Calc!$B$4:$B$11,MATCH(MAX(G487:N487),G487:N487,0)),"-")</f>
        <v>Cane Trash</v>
      </c>
    </row>
    <row r="488" spans="1:20">
      <c r="A488" s="39">
        <v>485</v>
      </c>
      <c r="B488" s="39" t="s">
        <v>564</v>
      </c>
      <c r="C488" s="39" t="s">
        <v>566</v>
      </c>
      <c r="D488" s="39" t="str">
        <f>B488&amp;"|"&amp;C488</f>
        <v>Punjab|Barnala</v>
      </c>
      <c r="E488" s="40">
        <v>30.38</v>
      </c>
      <c r="F488" s="40">
        <v>75.55</v>
      </c>
      <c r="G488" s="41">
        <v>48.3</v>
      </c>
      <c r="H488" s="41">
        <v>51.3</v>
      </c>
      <c r="I488" s="41">
        <v>0</v>
      </c>
      <c r="J488" s="41">
        <v>0.98</v>
      </c>
      <c r="K488" s="41">
        <v>2.88</v>
      </c>
      <c r="L488" s="41">
        <v>0.33600000000000002</v>
      </c>
      <c r="M488" s="41">
        <v>0</v>
      </c>
      <c r="N488" s="41">
        <v>0</v>
      </c>
      <c r="O488" s="42">
        <f>SUM(G488:N488)</f>
        <v>103.79599999999999</v>
      </c>
      <c r="P488" s="42">
        <f>SUMPRODUCT(G488:N488,$G$2:$N$2)*1000/Assumptions!$C$15</f>
        <v>37.737510521994132</v>
      </c>
      <c r="Q488" s="43">
        <f>IF(ISNUMBER(Finder!$G$5),Finder!$D$8*Assumptions!$C$16*2*ASIN(SQRT(SIN(RADIANS(E488-Finder!$G$5)/2)^2+COS(RADIANS(Finder!$G$5))*COS(RADIANS(E488))*SIN(RADIANS(F488-Finder!$G$6)/2)^2)),"")</f>
        <v>137.75053295015516</v>
      </c>
      <c r="R488" s="39">
        <f>IF(ISNUMBER(Q488),IF(Q488&lt;=Finder!$D$7,1,0),0)</f>
        <v>0</v>
      </c>
      <c r="S488" s="39" t="str">
        <f>IF(R488=1,O488+ROW()*0.000000001,"")</f>
        <v/>
      </c>
      <c r="T488" s="39" t="str">
        <f>IF(O488&gt;0,INDEX(Calc!$B$4:$B$11,MATCH(MAX(G488:N488),G488:N488,0)),"-")</f>
        <v>Wheat Straw</v>
      </c>
    </row>
    <row r="489" spans="1:20">
      <c r="A489" s="39">
        <v>486</v>
      </c>
      <c r="B489" s="39" t="s">
        <v>564</v>
      </c>
      <c r="C489" s="39" t="s">
        <v>567</v>
      </c>
      <c r="D489" s="39" t="str">
        <f>B489&amp;"|"&amp;C489</f>
        <v>Punjab|Bathinda</v>
      </c>
      <c r="E489" s="40">
        <v>30.21</v>
      </c>
      <c r="F489" s="40">
        <v>74.95</v>
      </c>
      <c r="G489" s="41">
        <v>91.14</v>
      </c>
      <c r="H489" s="41">
        <v>114.75</v>
      </c>
      <c r="I489" s="41">
        <v>0.47249999999999998</v>
      </c>
      <c r="J489" s="41">
        <v>3.3075000000000001</v>
      </c>
      <c r="K489" s="41">
        <v>1.44</v>
      </c>
      <c r="L489" s="41">
        <v>0.16800000000000001</v>
      </c>
      <c r="M489" s="41">
        <v>0</v>
      </c>
      <c r="N489" s="41">
        <v>0</v>
      </c>
      <c r="O489" s="42">
        <f>SUM(G489:N489)</f>
        <v>211.27799999999999</v>
      </c>
      <c r="P489" s="42">
        <f>SUMPRODUCT(G489:N489,$G$2:$N$2)*1000/Assumptions!$C$15</f>
        <v>77.052066668621706</v>
      </c>
      <c r="Q489" s="43">
        <f>IF(ISNUMBER(Finder!$G$5),Finder!$D$8*Assumptions!$C$16*2*ASIN(SQRT(SIN(RADIANS(E489-Finder!$G$5)/2)^2+COS(RADIANS(Finder!$G$5))*COS(RADIANS(E489))*SIN(RADIANS(F489-Finder!$G$6)/2)^2)),"")</f>
        <v>139.37593563900808</v>
      </c>
      <c r="R489" s="39">
        <f>IF(ISNUMBER(Q489),IF(Q489&lt;=Finder!$D$7,1,0),0)</f>
        <v>0</v>
      </c>
      <c r="S489" s="39" t="str">
        <f>IF(R489=1,O489+ROW()*0.000000001,"")</f>
        <v/>
      </c>
      <c r="T489" s="39" t="str">
        <f>IF(O489&gt;0,INDEX(Calc!$B$4:$B$11,MATCH(MAX(G489:N489),G489:N489,0)),"-")</f>
        <v>Wheat Straw</v>
      </c>
    </row>
    <row r="490" spans="1:20">
      <c r="A490" s="39">
        <v>487</v>
      </c>
      <c r="B490" s="39" t="s">
        <v>564</v>
      </c>
      <c r="C490" s="39" t="s">
        <v>568</v>
      </c>
      <c r="D490" s="39" t="str">
        <f>B490&amp;"|"&amp;C490</f>
        <v>Punjab|Faridkot</v>
      </c>
      <c r="E490" s="40">
        <v>30.68</v>
      </c>
      <c r="F490" s="40">
        <v>74.760000000000005</v>
      </c>
      <c r="G490" s="41">
        <v>49.14</v>
      </c>
      <c r="H490" s="41">
        <v>51.75</v>
      </c>
      <c r="I490" s="41">
        <v>0</v>
      </c>
      <c r="J490" s="41">
        <v>0.61250000000000004</v>
      </c>
      <c r="K490" s="41">
        <v>0</v>
      </c>
      <c r="L490" s="41">
        <v>0</v>
      </c>
      <c r="M490" s="41">
        <v>0</v>
      </c>
      <c r="N490" s="41">
        <v>0</v>
      </c>
      <c r="O490" s="42">
        <f>SUM(G490:N490)</f>
        <v>101.5025</v>
      </c>
      <c r="P490" s="42">
        <f>SUMPRODUCT(G490:N490,$G$2:$N$2)*1000/Assumptions!$C$15</f>
        <v>37.161844868035189</v>
      </c>
      <c r="Q490" s="43">
        <f>IF(ISNUMBER(Finder!$G$5),Finder!$D$8*Assumptions!$C$16*2*ASIN(SQRT(SIN(RADIANS(E490-Finder!$G$5)/2)^2+COS(RADIANS(Finder!$G$5))*COS(RADIANS(E490))*SIN(RADIANS(F490-Finder!$G$6)/2)^2)),"")</f>
        <v>193.65792810509674</v>
      </c>
      <c r="R490" s="39">
        <f>IF(ISNUMBER(Q490),IF(Q490&lt;=Finder!$D$7,1,0),0)</f>
        <v>0</v>
      </c>
      <c r="S490" s="39" t="str">
        <f>IF(R490=1,O490+ROW()*0.000000001,"")</f>
        <v/>
      </c>
      <c r="T490" s="39" t="str">
        <f>IF(O490&gt;0,INDEX(Calc!$B$4:$B$11,MATCH(MAX(G490:N490),G490:N490,0)),"-")</f>
        <v>Wheat Straw</v>
      </c>
    </row>
    <row r="491" spans="1:20">
      <c r="A491" s="39">
        <v>488</v>
      </c>
      <c r="B491" s="39" t="s">
        <v>564</v>
      </c>
      <c r="C491" s="39" t="s">
        <v>569</v>
      </c>
      <c r="D491" s="39" t="str">
        <f>B491&amp;"|"&amp;C491</f>
        <v>Punjab|Fatehgarh Sahib</v>
      </c>
      <c r="E491" s="40">
        <v>30.65</v>
      </c>
      <c r="F491" s="40">
        <v>76.39</v>
      </c>
      <c r="G491" s="41">
        <v>36.96</v>
      </c>
      <c r="H491" s="41">
        <v>38.25</v>
      </c>
      <c r="I491" s="41">
        <v>0.47249999999999998</v>
      </c>
      <c r="J491" s="41">
        <v>1.1637999999999999</v>
      </c>
      <c r="K491" s="41">
        <v>33.119999999999997</v>
      </c>
      <c r="L491" s="41">
        <v>3.8639999999999999</v>
      </c>
      <c r="M491" s="41">
        <v>0</v>
      </c>
      <c r="N491" s="41">
        <v>0</v>
      </c>
      <c r="O491" s="42">
        <f>SUM(G491:N491)</f>
        <v>113.83029999999999</v>
      </c>
      <c r="P491" s="42">
        <f>SUMPRODUCT(G491:N491,$G$2:$N$2)*1000/Assumptions!$C$15</f>
        <v>38.864616459824042</v>
      </c>
      <c r="Q491" s="43">
        <f>IF(ISNUMBER(Finder!$G$5),Finder!$D$8*Assumptions!$C$16*2*ASIN(SQRT(SIN(RADIANS(E491-Finder!$G$5)/2)^2+COS(RADIANS(Finder!$G$5))*COS(RADIANS(E491))*SIN(RADIANS(F491-Finder!$G$6)/2)^2)),"")</f>
        <v>178.85846491569959</v>
      </c>
      <c r="R491" s="39">
        <f>IF(ISNUMBER(Q491),IF(Q491&lt;=Finder!$D$7,1,0),0)</f>
        <v>0</v>
      </c>
      <c r="S491" s="39" t="str">
        <f>IF(R491=1,O491+ROW()*0.000000001,"")</f>
        <v/>
      </c>
      <c r="T491" s="39" t="str">
        <f>IF(O491&gt;0,INDEX(Calc!$B$4:$B$11,MATCH(MAX(G491:N491),G491:N491,0)),"-")</f>
        <v>Wheat Straw</v>
      </c>
    </row>
    <row r="492" spans="1:20">
      <c r="A492" s="39">
        <v>489</v>
      </c>
      <c r="B492" s="39" t="s">
        <v>564</v>
      </c>
      <c r="C492" s="39" t="s">
        <v>570</v>
      </c>
      <c r="D492" s="39" t="str">
        <f>B492&amp;"|"&amp;C492</f>
        <v>Punjab|Fazilka</v>
      </c>
      <c r="E492" s="40">
        <v>30.4</v>
      </c>
      <c r="F492" s="40">
        <v>74.03</v>
      </c>
      <c r="G492" s="41">
        <v>53.76</v>
      </c>
      <c r="H492" s="41">
        <v>88.65</v>
      </c>
      <c r="I492" s="41">
        <v>0.94499999999999995</v>
      </c>
      <c r="J492" s="41">
        <v>8.82</v>
      </c>
      <c r="K492" s="41">
        <v>14.22</v>
      </c>
      <c r="L492" s="41">
        <v>1.659</v>
      </c>
      <c r="M492" s="41">
        <v>0</v>
      </c>
      <c r="N492" s="41">
        <v>0</v>
      </c>
      <c r="O492" s="42">
        <f>SUM(G492:N492)</f>
        <v>168.05399999999997</v>
      </c>
      <c r="P492" s="42">
        <f>SUMPRODUCT(G492:N492,$G$2:$N$2)*1000/Assumptions!$C$15</f>
        <v>59.716945064516118</v>
      </c>
      <c r="Q492" s="43">
        <f>IF(ISNUMBER(Finder!$G$5),Finder!$D$8*Assumptions!$C$16*2*ASIN(SQRT(SIN(RADIANS(E492-Finder!$G$5)/2)^2+COS(RADIANS(Finder!$G$5))*COS(RADIANS(E492))*SIN(RADIANS(F492-Finder!$G$6)/2)^2)),"")</f>
        <v>214.29366932552367</v>
      </c>
      <c r="R492" s="39">
        <f>IF(ISNUMBER(Q492),IF(Q492&lt;=Finder!$D$7,1,0),0)</f>
        <v>0</v>
      </c>
      <c r="S492" s="39" t="str">
        <f>IF(R492=1,O492+ROW()*0.000000001,"")</f>
        <v/>
      </c>
      <c r="T492" s="39" t="str">
        <f>IF(O492&gt;0,INDEX(Calc!$B$4:$B$11,MATCH(MAX(G492:N492),G492:N492,0)),"-")</f>
        <v>Wheat Straw</v>
      </c>
    </row>
    <row r="493" spans="1:20">
      <c r="A493" s="39">
        <v>490</v>
      </c>
      <c r="B493" s="39" t="s">
        <v>564</v>
      </c>
      <c r="C493" s="39" t="s">
        <v>571</v>
      </c>
      <c r="D493" s="39" t="str">
        <f>B493&amp;"|"&amp;C493</f>
        <v>Punjab|Ferozepur</v>
      </c>
      <c r="E493" s="40">
        <v>30.93</v>
      </c>
      <c r="F493" s="40">
        <v>74.61</v>
      </c>
      <c r="G493" s="41">
        <v>78.540000000000006</v>
      </c>
      <c r="H493" s="41">
        <v>84.15</v>
      </c>
      <c r="I493" s="41">
        <v>0</v>
      </c>
      <c r="J493" s="41">
        <v>0.73499999999999999</v>
      </c>
      <c r="K493" s="41">
        <v>1.08</v>
      </c>
      <c r="L493" s="41">
        <v>0.126</v>
      </c>
      <c r="M493" s="41">
        <v>0</v>
      </c>
      <c r="N493" s="41">
        <v>0</v>
      </c>
      <c r="O493" s="42">
        <f>SUM(G493:N493)</f>
        <v>164.63100000000003</v>
      </c>
      <c r="P493" s="42">
        <f>SUMPRODUCT(G493:N493,$G$2:$N$2)*1000/Assumptions!$C$15</f>
        <v>60.203588234604112</v>
      </c>
      <c r="Q493" s="43">
        <f>IF(ISNUMBER(Finder!$G$5),Finder!$D$8*Assumptions!$C$16*2*ASIN(SQRT(SIN(RADIANS(E493-Finder!$G$5)/2)^2+COS(RADIANS(Finder!$G$5))*COS(RADIANS(E493))*SIN(RADIANS(F493-Finder!$G$6)/2)^2)),"")</f>
        <v>224.92108257311517</v>
      </c>
      <c r="R493" s="39">
        <f>IF(ISNUMBER(Q493),IF(Q493&lt;=Finder!$D$7,1,0),0)</f>
        <v>0</v>
      </c>
      <c r="S493" s="39" t="str">
        <f>IF(R493=1,O493+ROW()*0.000000001,"")</f>
        <v/>
      </c>
      <c r="T493" s="39" t="str">
        <f>IF(O493&gt;0,INDEX(Calc!$B$4:$B$11,MATCH(MAX(G493:N493),G493:N493,0)),"-")</f>
        <v>Wheat Straw</v>
      </c>
    </row>
    <row r="494" spans="1:20">
      <c r="A494" s="39">
        <v>491</v>
      </c>
      <c r="B494" s="39" t="s">
        <v>564</v>
      </c>
      <c r="C494" s="39" t="s">
        <v>572</v>
      </c>
      <c r="D494" s="39" t="str">
        <f>B494&amp;"|"&amp;C494</f>
        <v>Punjab|Gurdaspur</v>
      </c>
      <c r="E494" s="40">
        <v>32.04</v>
      </c>
      <c r="F494" s="40">
        <v>75.400000000000006</v>
      </c>
      <c r="G494" s="41">
        <v>72.66</v>
      </c>
      <c r="H494" s="41">
        <v>83.7</v>
      </c>
      <c r="I494" s="41">
        <v>0.73499999999999999</v>
      </c>
      <c r="J494" s="41">
        <v>3.0013000000000001</v>
      </c>
      <c r="K494" s="41">
        <v>342</v>
      </c>
      <c r="L494" s="41">
        <v>39.9</v>
      </c>
      <c r="M494" s="41">
        <v>0</v>
      </c>
      <c r="N494" s="41">
        <v>0</v>
      </c>
      <c r="O494" s="42">
        <f>SUM(G494:N494)</f>
        <v>541.99630000000002</v>
      </c>
      <c r="P494" s="42">
        <f>SUMPRODUCT(G494:N494,$G$2:$N$2)*1000/Assumptions!$C$15</f>
        <v>170.08712190850437</v>
      </c>
      <c r="Q494" s="43">
        <f>IF(ISNUMBER(Finder!$G$5),Finder!$D$8*Assumptions!$C$16*2*ASIN(SQRT(SIN(RADIANS(E494-Finder!$G$5)/2)^2+COS(RADIANS(Finder!$G$5))*COS(RADIANS(E494))*SIN(RADIANS(F494-Finder!$G$6)/2)^2)),"")</f>
        <v>322.80905303490681</v>
      </c>
      <c r="R494" s="39">
        <f>IF(ISNUMBER(Q494),IF(Q494&lt;=Finder!$D$7,1,0),0)</f>
        <v>0</v>
      </c>
      <c r="S494" s="39" t="str">
        <f>IF(R494=1,O494+ROW()*0.000000001,"")</f>
        <v/>
      </c>
      <c r="T494" s="39" t="str">
        <f>IF(O494&gt;0,INDEX(Calc!$B$4:$B$11,MATCH(MAX(G494:N494),G494:N494,0)),"-")</f>
        <v>Cane Trash</v>
      </c>
    </row>
    <row r="495" spans="1:20">
      <c r="A495" s="39">
        <v>492</v>
      </c>
      <c r="B495" s="39" t="s">
        <v>564</v>
      </c>
      <c r="C495" s="39" t="s">
        <v>573</v>
      </c>
      <c r="D495" s="39" t="str">
        <f>B495&amp;"|"&amp;C495</f>
        <v>Punjab|Hoshiarpur</v>
      </c>
      <c r="E495" s="40">
        <v>31.53</v>
      </c>
      <c r="F495" s="40">
        <v>75.91</v>
      </c>
      <c r="G495" s="41">
        <v>33.6</v>
      </c>
      <c r="H495" s="41">
        <v>65.7</v>
      </c>
      <c r="I495" s="41">
        <v>117.1275</v>
      </c>
      <c r="J495" s="41">
        <v>3.1236999999999999</v>
      </c>
      <c r="K495" s="41">
        <v>356.94</v>
      </c>
      <c r="L495" s="41">
        <v>41.643000000000001</v>
      </c>
      <c r="M495" s="41">
        <v>0</v>
      </c>
      <c r="N495" s="41">
        <v>0</v>
      </c>
      <c r="O495" s="42">
        <f>SUM(G495:N495)</f>
        <v>618.13420000000008</v>
      </c>
      <c r="P495" s="42">
        <f>SUMPRODUCT(G495:N495,$G$2:$N$2)*1000/Assumptions!$C$15</f>
        <v>188.32647216480936</v>
      </c>
      <c r="Q495" s="43">
        <f>IF(ISNUMBER(Finder!$G$5),Finder!$D$8*Assumptions!$C$16*2*ASIN(SQRT(SIN(RADIANS(E495-Finder!$G$5)/2)^2+COS(RADIANS(Finder!$G$5))*COS(RADIANS(E495))*SIN(RADIANS(F495-Finder!$G$6)/2)^2)),"")</f>
        <v>265.27112984468545</v>
      </c>
      <c r="R495" s="39">
        <f>IF(ISNUMBER(Q495),IF(Q495&lt;=Finder!$D$7,1,0),0)</f>
        <v>0</v>
      </c>
      <c r="S495" s="39" t="str">
        <f>IF(R495=1,O495+ROW()*0.000000001,"")</f>
        <v/>
      </c>
      <c r="T495" s="39" t="str">
        <f>IF(O495&gt;0,INDEX(Calc!$B$4:$B$11,MATCH(MAX(G495:N495),G495:N495,0)),"-")</f>
        <v>Cane Trash</v>
      </c>
    </row>
    <row r="496" spans="1:20">
      <c r="A496" s="39">
        <v>493</v>
      </c>
      <c r="B496" s="39" t="s">
        <v>564</v>
      </c>
      <c r="C496" s="39" t="s">
        <v>574</v>
      </c>
      <c r="D496" s="39" t="str">
        <f>B496&amp;"|"&amp;C496</f>
        <v>Punjab|Jalandhar</v>
      </c>
      <c r="E496" s="40">
        <v>31.33</v>
      </c>
      <c r="F496" s="40">
        <v>75.58</v>
      </c>
      <c r="G496" s="41">
        <v>73.92</v>
      </c>
      <c r="H496" s="41">
        <v>77.849999999999994</v>
      </c>
      <c r="I496" s="41">
        <v>9.0824999999999996</v>
      </c>
      <c r="J496" s="41">
        <v>0.67369999999999997</v>
      </c>
      <c r="K496" s="41">
        <v>154.80000000000001</v>
      </c>
      <c r="L496" s="41">
        <v>18.059999999999999</v>
      </c>
      <c r="M496" s="41">
        <v>0</v>
      </c>
      <c r="N496" s="41">
        <v>0</v>
      </c>
      <c r="O496" s="42">
        <f>SUM(G496:N496)</f>
        <v>334.38619999999997</v>
      </c>
      <c r="P496" s="42">
        <f>SUMPRODUCT(G496:N496,$G$2:$N$2)*1000/Assumptions!$C$15</f>
        <v>109.04900964574782</v>
      </c>
      <c r="Q496" s="43">
        <f>IF(ISNUMBER(Finder!$G$5),Finder!$D$8*Assumptions!$C$16*2*ASIN(SQRT(SIN(RADIANS(E496-Finder!$G$5)/2)^2+COS(RADIANS(Finder!$G$5))*COS(RADIANS(E496))*SIN(RADIANS(F496-Finder!$G$6)/2)^2)),"")</f>
        <v>242.7776452597131</v>
      </c>
      <c r="R496" s="39">
        <f>IF(ISNUMBER(Q496),IF(Q496&lt;=Finder!$D$7,1,0),0)</f>
        <v>0</v>
      </c>
      <c r="S496" s="39" t="str">
        <f>IF(R496=1,O496+ROW()*0.000000001,"")</f>
        <v/>
      </c>
      <c r="T496" s="39" t="str">
        <f>IF(O496&gt;0,INDEX(Calc!$B$4:$B$11,MATCH(MAX(G496:N496),G496:N496,0)),"-")</f>
        <v>Cane Trash</v>
      </c>
    </row>
    <row r="497" spans="1:20">
      <c r="A497" s="39">
        <v>494</v>
      </c>
      <c r="B497" s="39" t="s">
        <v>564</v>
      </c>
      <c r="C497" s="39" t="s">
        <v>575</v>
      </c>
      <c r="D497" s="39" t="str">
        <f>B497&amp;"|"&amp;C497</f>
        <v>Punjab|Kapurthala</v>
      </c>
      <c r="E497" s="40">
        <v>31.38</v>
      </c>
      <c r="F497" s="40">
        <v>75.38</v>
      </c>
      <c r="G497" s="41">
        <v>49.14</v>
      </c>
      <c r="H497" s="41">
        <v>48.15</v>
      </c>
      <c r="I497" s="41">
        <v>1.4175</v>
      </c>
      <c r="J497" s="41">
        <v>0.55130000000000001</v>
      </c>
      <c r="K497" s="41">
        <v>59.22</v>
      </c>
      <c r="L497" s="41">
        <v>6.9089999999999998</v>
      </c>
      <c r="M497" s="41">
        <v>0</v>
      </c>
      <c r="N497" s="41">
        <v>0</v>
      </c>
      <c r="O497" s="42">
        <f>SUM(G497:N497)</f>
        <v>165.38779999999997</v>
      </c>
      <c r="P497" s="42">
        <f>SUMPRODUCT(G497:N497,$G$2:$N$2)*1000/Assumptions!$C$15</f>
        <v>55.578404744281521</v>
      </c>
      <c r="Q497" s="43">
        <f>IF(ISNUMBER(Finder!$G$5),Finder!$D$8*Assumptions!$C$16*2*ASIN(SQRT(SIN(RADIANS(E497-Finder!$G$5)/2)^2+COS(RADIANS(Finder!$G$5))*COS(RADIANS(E497))*SIN(RADIANS(F497-Finder!$G$6)/2)^2)),"")</f>
        <v>250.10489466789878</v>
      </c>
      <c r="R497" s="39">
        <f>IF(ISNUMBER(Q497),IF(Q497&lt;=Finder!$D$7,1,0),0)</f>
        <v>0</v>
      </c>
      <c r="S497" s="39" t="str">
        <f>IF(R497=1,O497+ROW()*0.000000001,"")</f>
        <v/>
      </c>
      <c r="T497" s="39" t="str">
        <f>IF(O497&gt;0,INDEX(Calc!$B$4:$B$11,MATCH(MAX(G497:N497),G497:N497,0)),"-")</f>
        <v>Cane Trash</v>
      </c>
    </row>
    <row r="498" spans="1:20">
      <c r="A498" s="39">
        <v>495</v>
      </c>
      <c r="B498" s="39" t="s">
        <v>564</v>
      </c>
      <c r="C498" s="39" t="s">
        <v>576</v>
      </c>
      <c r="D498" s="39" t="str">
        <f>B498&amp;"|"&amp;C498</f>
        <v>Punjab|Ludhiana</v>
      </c>
      <c r="E498" s="40">
        <v>30.9</v>
      </c>
      <c r="F498" s="40">
        <v>75.849999999999994</v>
      </c>
      <c r="G498" s="41">
        <v>108.36</v>
      </c>
      <c r="H498" s="41">
        <v>108</v>
      </c>
      <c r="I498" s="41">
        <v>1.26</v>
      </c>
      <c r="J498" s="41">
        <v>2.6949999999999998</v>
      </c>
      <c r="K498" s="41">
        <v>36.9</v>
      </c>
      <c r="L498" s="41">
        <v>4.3049999999999997</v>
      </c>
      <c r="M498" s="41">
        <v>0</v>
      </c>
      <c r="N498" s="41">
        <v>0</v>
      </c>
      <c r="O498" s="42">
        <f>SUM(G498:N498)</f>
        <v>261.52</v>
      </c>
      <c r="P498" s="42">
        <f>SUMPRODUCT(G498:N498,$G$2:$N$2)*1000/Assumptions!$C$15</f>
        <v>92.520155117302053</v>
      </c>
      <c r="Q498" s="43">
        <f>IF(ISNUMBER(Finder!$G$5),Finder!$D$8*Assumptions!$C$16*2*ASIN(SQRT(SIN(RADIANS(E498-Finder!$G$5)/2)^2+COS(RADIANS(Finder!$G$5))*COS(RADIANS(E498))*SIN(RADIANS(F498-Finder!$G$6)/2)^2)),"")</f>
        <v>194.99312524024759</v>
      </c>
      <c r="R498" s="39">
        <f>IF(ISNUMBER(Q498),IF(Q498&lt;=Finder!$D$7,1,0),0)</f>
        <v>0</v>
      </c>
      <c r="S498" s="39" t="str">
        <f>IF(R498=1,O498+ROW()*0.000000001,"")</f>
        <v/>
      </c>
      <c r="T498" s="39" t="str">
        <f>IF(O498&gt;0,INDEX(Calc!$B$4:$B$11,MATCH(MAX(G498:N498),G498:N498,0)),"-")</f>
        <v>Paddy Straw</v>
      </c>
    </row>
    <row r="499" spans="1:20">
      <c r="A499" s="39">
        <v>496</v>
      </c>
      <c r="B499" s="39" t="s">
        <v>564</v>
      </c>
      <c r="C499" s="39" t="s">
        <v>577</v>
      </c>
      <c r="D499" s="39" t="str">
        <f>B499&amp;"|"&amp;C499</f>
        <v>Punjab|Malerkotla</v>
      </c>
      <c r="E499" s="40">
        <v>30.53</v>
      </c>
      <c r="F499" s="40">
        <v>75.88</v>
      </c>
      <c r="G499" s="41">
        <v>22.26</v>
      </c>
      <c r="H499" s="41">
        <v>23.4</v>
      </c>
      <c r="I499" s="41">
        <v>0.47249999999999998</v>
      </c>
      <c r="J499" s="41">
        <v>0.36749999999999999</v>
      </c>
      <c r="K499" s="41">
        <v>8.82</v>
      </c>
      <c r="L499" s="41">
        <v>1.0289999999999999</v>
      </c>
      <c r="M499" s="41">
        <v>0</v>
      </c>
      <c r="N499" s="41">
        <v>0</v>
      </c>
      <c r="O499" s="42">
        <f>SUM(G499:N499)</f>
        <v>56.34899999999999</v>
      </c>
      <c r="P499" s="42">
        <f>SUMPRODUCT(G499:N499,$G$2:$N$2)*1000/Assumptions!$C$15</f>
        <v>19.863981897360706</v>
      </c>
      <c r="Q499" s="43">
        <f>IF(ISNUMBER(Finder!$G$5),Finder!$D$8*Assumptions!$C$16*2*ASIN(SQRT(SIN(RADIANS(E499-Finder!$G$5)/2)^2+COS(RADIANS(Finder!$G$5))*COS(RADIANS(E499))*SIN(RADIANS(F499-Finder!$G$6)/2)^2)),"")</f>
        <v>154.22299225298127</v>
      </c>
      <c r="R499" s="39">
        <f>IF(ISNUMBER(Q499),IF(Q499&lt;=Finder!$D$7,1,0),0)</f>
        <v>0</v>
      </c>
      <c r="S499" s="39" t="str">
        <f>IF(R499=1,O499+ROW()*0.000000001,"")</f>
        <v/>
      </c>
      <c r="T499" s="39" t="str">
        <f>IF(O499&gt;0,INDEX(Calc!$B$4:$B$11,MATCH(MAX(G499:N499),G499:N499,0)),"-")</f>
        <v>Wheat Straw</v>
      </c>
    </row>
    <row r="500" spans="1:20">
      <c r="A500" s="39">
        <v>497</v>
      </c>
      <c r="B500" s="39" t="s">
        <v>564</v>
      </c>
      <c r="C500" s="39" t="s">
        <v>578</v>
      </c>
      <c r="D500" s="39" t="str">
        <f>B500&amp;"|"&amp;C500</f>
        <v>Punjab|Mansa</v>
      </c>
      <c r="E500" s="40">
        <v>29.99</v>
      </c>
      <c r="F500" s="40">
        <v>75.400000000000006</v>
      </c>
      <c r="G500" s="41">
        <v>60.48</v>
      </c>
      <c r="H500" s="41">
        <v>77.400000000000006</v>
      </c>
      <c r="I500" s="41">
        <v>0.21</v>
      </c>
      <c r="J500" s="41">
        <v>3.0013000000000001</v>
      </c>
      <c r="K500" s="41">
        <v>1.44</v>
      </c>
      <c r="L500" s="41">
        <v>0.16800000000000001</v>
      </c>
      <c r="M500" s="41">
        <v>0</v>
      </c>
      <c r="N500" s="41">
        <v>0</v>
      </c>
      <c r="O500" s="42">
        <f>SUM(G500:N500)</f>
        <v>142.69929999999999</v>
      </c>
      <c r="P500" s="42">
        <f>SUMPRODUCT(G500:N500,$G$2:$N$2)*1000/Assumptions!$C$15</f>
        <v>51.955410776539587</v>
      </c>
      <c r="Q500" s="43">
        <f>IF(ISNUMBER(Finder!$G$5),Finder!$D$8*Assumptions!$C$16*2*ASIN(SQRT(SIN(RADIANS(E500-Finder!$G$5)/2)^2+COS(RADIANS(Finder!$G$5))*COS(RADIANS(E500))*SIN(RADIANS(F500-Finder!$G$6)/2)^2)),"")</f>
        <v>98.397134996461688</v>
      </c>
      <c r="R500" s="39">
        <f>IF(ISNUMBER(Q500),IF(Q500&lt;=Finder!$D$7,1,0),0)</f>
        <v>1</v>
      </c>
      <c r="S500" s="39">
        <f>IF(R500=1,O500+ROW()*0.000000001,"")</f>
        <v>142.69930049999999</v>
      </c>
      <c r="T500" s="39" t="str">
        <f>IF(O500&gt;0,INDEX(Calc!$B$4:$B$11,MATCH(MAX(G500:N500),G500:N500,0)),"-")</f>
        <v>Wheat Straw</v>
      </c>
    </row>
    <row r="501" spans="1:20">
      <c r="A501" s="39">
        <v>498</v>
      </c>
      <c r="B501" s="39" t="s">
        <v>564</v>
      </c>
      <c r="C501" s="39" t="s">
        <v>579</v>
      </c>
      <c r="D501" s="39" t="str">
        <f>B501&amp;"|"&amp;C501</f>
        <v>Punjab|Moga</v>
      </c>
      <c r="E501" s="40">
        <v>30.82</v>
      </c>
      <c r="F501" s="40">
        <v>75.17</v>
      </c>
      <c r="G501" s="41">
        <v>77.7</v>
      </c>
      <c r="H501" s="41">
        <v>79.2</v>
      </c>
      <c r="I501" s="41">
        <v>0.57750000000000001</v>
      </c>
      <c r="J501" s="41">
        <v>0.79630000000000001</v>
      </c>
      <c r="K501" s="41">
        <v>1.44</v>
      </c>
      <c r="L501" s="41">
        <v>0.16800000000000001</v>
      </c>
      <c r="M501" s="41">
        <v>0</v>
      </c>
      <c r="N501" s="41">
        <v>0</v>
      </c>
      <c r="O501" s="42">
        <f>SUM(G501:N501)</f>
        <v>159.8818</v>
      </c>
      <c r="P501" s="42">
        <f>SUMPRODUCT(G501:N501,$G$2:$N$2)*1000/Assumptions!$C$15</f>
        <v>58.386713562463349</v>
      </c>
      <c r="Q501" s="43">
        <f>IF(ISNUMBER(Finder!$G$5),Finder!$D$8*Assumptions!$C$16*2*ASIN(SQRT(SIN(RADIANS(E501-Finder!$G$5)/2)^2+COS(RADIANS(Finder!$G$5))*COS(RADIANS(E501))*SIN(RADIANS(F501-Finder!$G$6)/2)^2)),"")</f>
        <v>193.10211691367914</v>
      </c>
      <c r="R501" s="39">
        <f>IF(ISNUMBER(Q501),IF(Q501&lt;=Finder!$D$7,1,0),0)</f>
        <v>0</v>
      </c>
      <c r="S501" s="39" t="str">
        <f>IF(R501=1,O501+ROW()*0.000000001,"")</f>
        <v/>
      </c>
      <c r="T501" s="39" t="str">
        <f>IF(O501&gt;0,INDEX(Calc!$B$4:$B$11,MATCH(MAX(G501:N501),G501:N501,0)),"-")</f>
        <v>Wheat Straw</v>
      </c>
    </row>
    <row r="502" spans="1:20">
      <c r="A502" s="39">
        <v>499</v>
      </c>
      <c r="B502" s="39" t="s">
        <v>564</v>
      </c>
      <c r="C502" s="39" t="s">
        <v>580</v>
      </c>
      <c r="D502" s="39" t="str">
        <f>B502&amp;"|"&amp;C502</f>
        <v>Punjab|Pathankot</v>
      </c>
      <c r="E502" s="40">
        <v>32.270000000000003</v>
      </c>
      <c r="F502" s="40">
        <v>75.650000000000006</v>
      </c>
      <c r="G502" s="41">
        <v>11.34</v>
      </c>
      <c r="H502" s="41">
        <v>18</v>
      </c>
      <c r="I502" s="41">
        <v>9.9749999999999996</v>
      </c>
      <c r="J502" s="41">
        <v>0.91869999999999996</v>
      </c>
      <c r="K502" s="41">
        <v>55.44</v>
      </c>
      <c r="L502" s="41">
        <v>6.468</v>
      </c>
      <c r="M502" s="41">
        <v>0</v>
      </c>
      <c r="N502" s="41">
        <v>0</v>
      </c>
      <c r="O502" s="42">
        <f>SUM(G502:N502)</f>
        <v>102.1417</v>
      </c>
      <c r="P502" s="42">
        <f>SUMPRODUCT(G502:N502,$G$2:$N$2)*1000/Assumptions!$C$15</f>
        <v>32.062300038709672</v>
      </c>
      <c r="Q502" s="43">
        <f>IF(ISNUMBER(Finder!$G$5),Finder!$D$8*Assumptions!$C$16*2*ASIN(SQRT(SIN(RADIANS(E502-Finder!$G$5)/2)^2+COS(RADIANS(Finder!$G$5))*COS(RADIANS(E502))*SIN(RADIANS(F502-Finder!$G$6)/2)^2)),"")</f>
        <v>346.99267603505058</v>
      </c>
      <c r="R502" s="39">
        <f>IF(ISNUMBER(Q502),IF(Q502&lt;=Finder!$D$7,1,0),0)</f>
        <v>0</v>
      </c>
      <c r="S502" s="39" t="str">
        <f>IF(R502=1,O502+ROW()*0.000000001,"")</f>
        <v/>
      </c>
      <c r="T502" s="39" t="str">
        <f>IF(O502&gt;0,INDEX(Calc!$B$4:$B$11,MATCH(MAX(G502:N502),G502:N502,0)),"-")</f>
        <v>Cane Trash</v>
      </c>
    </row>
    <row r="503" spans="1:20">
      <c r="A503" s="39">
        <v>500</v>
      </c>
      <c r="B503" s="39" t="s">
        <v>564</v>
      </c>
      <c r="C503" s="39" t="s">
        <v>581</v>
      </c>
      <c r="D503" s="39" t="str">
        <f>B503&amp;"|"&amp;C503</f>
        <v>Punjab|Patiala</v>
      </c>
      <c r="E503" s="40">
        <v>30.34</v>
      </c>
      <c r="F503" s="40">
        <v>76.39</v>
      </c>
      <c r="G503" s="41">
        <v>97.86</v>
      </c>
      <c r="H503" s="41">
        <v>103.95</v>
      </c>
      <c r="I503" s="41">
        <v>0.99750000000000005</v>
      </c>
      <c r="J503" s="41">
        <v>1.1025</v>
      </c>
      <c r="K503" s="41">
        <v>24.12</v>
      </c>
      <c r="L503" s="41">
        <v>2.8140000000000001</v>
      </c>
      <c r="M503" s="41">
        <v>0</v>
      </c>
      <c r="N503" s="41">
        <v>0</v>
      </c>
      <c r="O503" s="42">
        <f>SUM(G503:N503)</f>
        <v>230.84399999999999</v>
      </c>
      <c r="P503" s="42">
        <f>SUMPRODUCT(G503:N503,$G$2:$N$2)*1000/Assumptions!$C$15</f>
        <v>82.468019331378287</v>
      </c>
      <c r="Q503" s="43">
        <f>IF(ISNUMBER(Finder!$G$5),Finder!$D$8*Assumptions!$C$16*2*ASIN(SQRT(SIN(RADIANS(E503-Finder!$G$5)/2)^2+COS(RADIANS(Finder!$G$5))*COS(RADIANS(E503))*SIN(RADIANS(F503-Finder!$G$6)/2)^2)),"")</f>
        <v>147.28504514428263</v>
      </c>
      <c r="R503" s="39">
        <f>IF(ISNUMBER(Q503),IF(Q503&lt;=Finder!$D$7,1,0),0)</f>
        <v>0</v>
      </c>
      <c r="S503" s="39" t="str">
        <f>IF(R503=1,O503+ROW()*0.000000001,"")</f>
        <v/>
      </c>
      <c r="T503" s="39" t="str">
        <f>IF(O503&gt;0,INDEX(Calc!$B$4:$B$11,MATCH(MAX(G503:N503),G503:N503,0)),"-")</f>
        <v>Wheat Straw</v>
      </c>
    </row>
    <row r="504" spans="1:20">
      <c r="A504" s="39">
        <v>501</v>
      </c>
      <c r="B504" s="39" t="s">
        <v>564</v>
      </c>
      <c r="C504" s="39" t="s">
        <v>582</v>
      </c>
      <c r="D504" s="39" t="str">
        <f>B504&amp;"|"&amp;C504</f>
        <v>Punjab|Rupnagar</v>
      </c>
      <c r="E504" s="40">
        <v>30.97</v>
      </c>
      <c r="F504" s="40">
        <v>76.53</v>
      </c>
      <c r="G504" s="41">
        <v>17.64</v>
      </c>
      <c r="H504" s="41">
        <v>30.15</v>
      </c>
      <c r="I504" s="41">
        <v>42.42</v>
      </c>
      <c r="J504" s="41">
        <v>2.1436999999999999</v>
      </c>
      <c r="K504" s="41">
        <v>33.479999999999997</v>
      </c>
      <c r="L504" s="41">
        <v>3.9060000000000001</v>
      </c>
      <c r="M504" s="41">
        <v>0</v>
      </c>
      <c r="N504" s="41">
        <v>0</v>
      </c>
      <c r="O504" s="42">
        <f>SUM(G504:N504)</f>
        <v>129.7397</v>
      </c>
      <c r="P504" s="42">
        <f>SUMPRODUCT(G504:N504,$G$2:$N$2)*1000/Assumptions!$C$15</f>
        <v>41.559710548973612</v>
      </c>
      <c r="Q504" s="43">
        <f>IF(ISNUMBER(Finder!$G$5),Finder!$D$8*Assumptions!$C$16*2*ASIN(SQRT(SIN(RADIANS(E504-Finder!$G$5)/2)^2+COS(RADIANS(Finder!$G$5))*COS(RADIANS(E504))*SIN(RADIANS(F504-Finder!$G$6)/2)^2)),"")</f>
        <v>216.86701806604214</v>
      </c>
      <c r="R504" s="39">
        <f>IF(ISNUMBER(Q504),IF(Q504&lt;=Finder!$D$7,1,0),0)</f>
        <v>0</v>
      </c>
      <c r="S504" s="39" t="str">
        <f>IF(R504=1,O504+ROW()*0.000000001,"")</f>
        <v/>
      </c>
      <c r="T504" s="39" t="str">
        <f>IF(O504&gt;0,INDEX(Calc!$B$4:$B$11,MATCH(MAX(G504:N504),G504:N504,0)),"-")</f>
        <v>Maize Stover</v>
      </c>
    </row>
    <row r="505" spans="1:20">
      <c r="A505" s="39">
        <v>502</v>
      </c>
      <c r="B505" s="39" t="s">
        <v>564</v>
      </c>
      <c r="C505" s="39" t="s">
        <v>583</v>
      </c>
      <c r="D505" s="39" t="str">
        <f>B505&amp;"|"&amp;C505</f>
        <v>Punjab|S.A.S Nagar</v>
      </c>
      <c r="E505" s="40">
        <v>30.7</v>
      </c>
      <c r="F505" s="40">
        <v>76.72</v>
      </c>
      <c r="G505" s="41">
        <v>13.86</v>
      </c>
      <c r="H505" s="41">
        <v>23.4</v>
      </c>
      <c r="I505" s="41">
        <v>5.1974999999999998</v>
      </c>
      <c r="J505" s="41">
        <v>0.79630000000000001</v>
      </c>
      <c r="K505" s="41">
        <v>20.16</v>
      </c>
      <c r="L505" s="41">
        <v>2.3519999999999999</v>
      </c>
      <c r="M505" s="41">
        <v>0</v>
      </c>
      <c r="N505" s="41">
        <v>0</v>
      </c>
      <c r="O505" s="42">
        <f>SUM(G505:N505)</f>
        <v>65.765799999999999</v>
      </c>
      <c r="P505" s="42">
        <f>SUMPRODUCT(G505:N505,$G$2:$N$2)*1000/Assumptions!$C$15</f>
        <v>22.003940166568913</v>
      </c>
      <c r="Q505" s="43">
        <f>IF(ISNUMBER(Finder!$G$5),Finder!$D$8*Assumptions!$C$16*2*ASIN(SQRT(SIN(RADIANS(E505-Finder!$G$5)/2)^2+COS(RADIANS(Finder!$G$5))*COS(RADIANS(E505))*SIN(RADIANS(F505-Finder!$G$6)/2)^2)),"")</f>
        <v>197.46217472114611</v>
      </c>
      <c r="R505" s="39">
        <f>IF(ISNUMBER(Q505),IF(Q505&lt;=Finder!$D$7,1,0),0)</f>
        <v>0</v>
      </c>
      <c r="S505" s="39" t="str">
        <f>IF(R505=1,O505+ROW()*0.000000001,"")</f>
        <v/>
      </c>
      <c r="T505" s="39" t="str">
        <f>IF(O505&gt;0,INDEX(Calc!$B$4:$B$11,MATCH(MAX(G505:N505),G505:N505,0)),"-")</f>
        <v>Wheat Straw</v>
      </c>
    </row>
    <row r="506" spans="1:20">
      <c r="A506" s="39">
        <v>503</v>
      </c>
      <c r="B506" s="39" t="s">
        <v>564</v>
      </c>
      <c r="C506" s="39" t="s">
        <v>584</v>
      </c>
      <c r="D506" s="39" t="str">
        <f>B506&amp;"|"&amp;C506</f>
        <v>Punjab|Sangrur</v>
      </c>
      <c r="E506" s="40">
        <v>30.25</v>
      </c>
      <c r="F506" s="40">
        <v>75.84</v>
      </c>
      <c r="G506" s="41">
        <v>101.22</v>
      </c>
      <c r="H506" s="41">
        <v>108</v>
      </c>
      <c r="I506" s="41">
        <v>0.47249999999999998</v>
      </c>
      <c r="J506" s="41">
        <v>2.0825</v>
      </c>
      <c r="K506" s="41">
        <v>16.02</v>
      </c>
      <c r="L506" s="41">
        <v>1.869</v>
      </c>
      <c r="M506" s="41">
        <v>0</v>
      </c>
      <c r="N506" s="41">
        <v>0</v>
      </c>
      <c r="O506" s="42">
        <f>SUM(G506:N506)</f>
        <v>229.66400000000002</v>
      </c>
      <c r="P506" s="42">
        <f>SUMPRODUCT(G506:N506,$G$2:$N$2)*1000/Assumptions!$C$15</f>
        <v>82.673139258064523</v>
      </c>
      <c r="Q506" s="43">
        <f>IF(ISNUMBER(Finder!$G$5),Finder!$D$8*Assumptions!$C$16*2*ASIN(SQRT(SIN(RADIANS(E506-Finder!$G$5)/2)^2+COS(RADIANS(Finder!$G$5))*COS(RADIANS(E506))*SIN(RADIANS(F506-Finder!$G$6)/2)^2)),"")</f>
        <v>122.86231507584418</v>
      </c>
      <c r="R506" s="39">
        <f>IF(ISNUMBER(Q506),IF(Q506&lt;=Finder!$D$7,1,0),0)</f>
        <v>0</v>
      </c>
      <c r="S506" s="39" t="str">
        <f>IF(R506=1,O506+ROW()*0.000000001,"")</f>
        <v/>
      </c>
      <c r="T506" s="39" t="str">
        <f>IF(O506&gt;0,INDEX(Calc!$B$4:$B$11,MATCH(MAX(G506:N506),G506:N506,0)),"-")</f>
        <v>Wheat Straw</v>
      </c>
    </row>
    <row r="507" spans="1:20">
      <c r="A507" s="39">
        <v>504</v>
      </c>
      <c r="B507" s="39" t="s">
        <v>564</v>
      </c>
      <c r="C507" s="39" t="s">
        <v>585</v>
      </c>
      <c r="D507" s="39" t="str">
        <f>B507&amp;"|"&amp;C507</f>
        <v>Punjab|Shahid Bhagat Singh Nagar</v>
      </c>
      <c r="E507" s="40">
        <v>31.13</v>
      </c>
      <c r="F507" s="40">
        <v>76.12</v>
      </c>
      <c r="G507" s="41">
        <v>26.46</v>
      </c>
      <c r="H507" s="41">
        <v>35.1</v>
      </c>
      <c r="I507" s="41">
        <v>18.8475</v>
      </c>
      <c r="J507" s="41">
        <v>1.5311999999999999</v>
      </c>
      <c r="K507" s="41">
        <v>83.7</v>
      </c>
      <c r="L507" s="41">
        <v>9.7650000000000006</v>
      </c>
      <c r="M507" s="41">
        <v>0</v>
      </c>
      <c r="N507" s="41">
        <v>0</v>
      </c>
      <c r="O507" s="42">
        <f>SUM(G507:N507)</f>
        <v>175.40370000000001</v>
      </c>
      <c r="P507" s="42">
        <f>SUMPRODUCT(G507:N507,$G$2:$N$2)*1000/Assumptions!$C$15</f>
        <v>55.890754147214068</v>
      </c>
      <c r="Q507" s="43">
        <f>IF(ISNUMBER(Finder!$G$5),Finder!$D$8*Assumptions!$C$16*2*ASIN(SQRT(SIN(RADIANS(E507-Finder!$G$5)/2)^2+COS(RADIANS(Finder!$G$5))*COS(RADIANS(E507))*SIN(RADIANS(F507-Finder!$G$6)/2)^2)),"")</f>
        <v>223.50005639872961</v>
      </c>
      <c r="R507" s="39">
        <f>IF(ISNUMBER(Q507),IF(Q507&lt;=Finder!$D$7,1,0),0)</f>
        <v>0</v>
      </c>
      <c r="S507" s="39" t="str">
        <f>IF(R507=1,O507+ROW()*0.000000001,"")</f>
        <v/>
      </c>
      <c r="T507" s="39" t="str">
        <f>IF(O507&gt;0,INDEX(Calc!$B$4:$B$11,MATCH(MAX(G507:N507),G507:N507,0)),"-")</f>
        <v>Cane Trash</v>
      </c>
    </row>
    <row r="508" spans="1:20">
      <c r="A508" s="39">
        <v>505</v>
      </c>
      <c r="B508" s="39" t="s">
        <v>564</v>
      </c>
      <c r="C508" s="39" t="s">
        <v>586</v>
      </c>
      <c r="D508" s="39" t="str">
        <f>B508&amp;"|"&amp;C508</f>
        <v>Punjab|Sri Muktsar Sahib</v>
      </c>
      <c r="E508" s="40">
        <v>30.47</v>
      </c>
      <c r="F508" s="40">
        <v>74.52</v>
      </c>
      <c r="G508" s="41">
        <v>84.84</v>
      </c>
      <c r="H508" s="41">
        <v>98.1</v>
      </c>
      <c r="I508" s="41">
        <v>0.21</v>
      </c>
      <c r="J508" s="41">
        <v>1.1637999999999999</v>
      </c>
      <c r="K508" s="41">
        <v>3.06</v>
      </c>
      <c r="L508" s="41">
        <v>0.35699999999999998</v>
      </c>
      <c r="M508" s="41">
        <v>0</v>
      </c>
      <c r="N508" s="41">
        <v>0</v>
      </c>
      <c r="O508" s="42">
        <f>SUM(G508:N508)</f>
        <v>187.73080000000002</v>
      </c>
      <c r="P508" s="42">
        <f>SUMPRODUCT(G508:N508,$G$2:$N$2)*1000/Assumptions!$C$15</f>
        <v>68.460766251612881</v>
      </c>
      <c r="Q508" s="43">
        <f>IF(ISNUMBER(Finder!$G$5),Finder!$D$8*Assumptions!$C$16*2*ASIN(SQRT(SIN(RADIANS(E508-Finder!$G$5)/2)^2+COS(RADIANS(Finder!$G$5))*COS(RADIANS(E508))*SIN(RADIANS(F508-Finder!$G$6)/2)^2)),"")</f>
        <v>186.94055036777755</v>
      </c>
      <c r="R508" s="39">
        <f>IF(ISNUMBER(Q508),IF(Q508&lt;=Finder!$D$7,1,0),0)</f>
        <v>0</v>
      </c>
      <c r="S508" s="39" t="str">
        <f>IF(R508=1,O508+ROW()*0.000000001,"")</f>
        <v/>
      </c>
      <c r="T508" s="39" t="str">
        <f>IF(O508&gt;0,INDEX(Calc!$B$4:$B$11,MATCH(MAX(G508:N508),G508:N508,0)),"-")</f>
        <v>Wheat Straw</v>
      </c>
    </row>
    <row r="509" spans="1:20">
      <c r="A509" s="39">
        <v>506</v>
      </c>
      <c r="B509" s="39" t="s">
        <v>564</v>
      </c>
      <c r="C509" s="39" t="s">
        <v>587</v>
      </c>
      <c r="D509" s="39" t="str">
        <f>B509&amp;"|"&amp;C509</f>
        <v>Punjab|Tarn Taran</v>
      </c>
      <c r="E509" s="40">
        <v>31.45</v>
      </c>
      <c r="F509" s="40">
        <v>74.930000000000007</v>
      </c>
      <c r="G509" s="41">
        <v>77.7</v>
      </c>
      <c r="H509" s="41">
        <v>86.85</v>
      </c>
      <c r="I509" s="41">
        <v>0.6825</v>
      </c>
      <c r="J509" s="41">
        <v>1.1025</v>
      </c>
      <c r="K509" s="41">
        <v>8.4600000000000009</v>
      </c>
      <c r="L509" s="41">
        <v>0.98699999999999999</v>
      </c>
      <c r="M509" s="41">
        <v>0</v>
      </c>
      <c r="N509" s="41">
        <v>0</v>
      </c>
      <c r="O509" s="42">
        <f>SUM(G509:N509)</f>
        <v>175.78200000000001</v>
      </c>
      <c r="P509" s="42">
        <f>SUMPRODUCT(G509:N509,$G$2:$N$2)*1000/Assumptions!$C$15</f>
        <v>63.60406765689148</v>
      </c>
      <c r="Q509" s="43">
        <f>IF(ISNUMBER(Finder!$G$5),Finder!$D$8*Assumptions!$C$16*2*ASIN(SQRT(SIN(RADIANS(E509-Finder!$G$5)/2)^2+COS(RADIANS(Finder!$G$5))*COS(RADIANS(E509))*SIN(RADIANS(F509-Finder!$G$6)/2)^2)),"")</f>
        <v>266.75447732123024</v>
      </c>
      <c r="R509" s="39">
        <f>IF(ISNUMBER(Q509),IF(Q509&lt;=Finder!$D$7,1,0),0)</f>
        <v>0</v>
      </c>
      <c r="S509" s="39" t="str">
        <f>IF(R509=1,O509+ROW()*0.000000001,"")</f>
        <v/>
      </c>
      <c r="T509" s="39" t="str">
        <f>IF(O509&gt;0,INDEX(Calc!$B$4:$B$11,MATCH(MAX(G509:N509),G509:N509,0)),"-")</f>
        <v>Wheat Straw</v>
      </c>
    </row>
    <row r="510" spans="1:20">
      <c r="A510" s="39">
        <v>507</v>
      </c>
      <c r="B510" s="39" t="s">
        <v>588</v>
      </c>
      <c r="C510" s="39" t="s">
        <v>589</v>
      </c>
      <c r="D510" s="39" t="str">
        <f>B510&amp;"|"&amp;C510</f>
        <v>Rajasthan|Ajmer</v>
      </c>
      <c r="E510" s="40">
        <v>26.45</v>
      </c>
      <c r="F510" s="40">
        <v>74.64</v>
      </c>
      <c r="G510" s="41">
        <v>0</v>
      </c>
      <c r="H510" s="41">
        <v>27</v>
      </c>
      <c r="I510" s="41">
        <v>14.259499999999999</v>
      </c>
      <c r="J510" s="41">
        <v>85.754900000000006</v>
      </c>
      <c r="K510" s="41">
        <v>4.82E-2</v>
      </c>
      <c r="L510" s="41">
        <v>5.5999999999999999E-3</v>
      </c>
      <c r="M510" s="41">
        <v>6.6500000000000004E-2</v>
      </c>
      <c r="N510" s="41">
        <v>0</v>
      </c>
      <c r="O510" s="42">
        <f>SUM(G510:N510)</f>
        <v>127.13470000000001</v>
      </c>
      <c r="P510" s="42">
        <f>SUMPRODUCT(G510:N510,$G$2:$N$2)*1000/Assumptions!$C$15</f>
        <v>39.356118821114364</v>
      </c>
      <c r="Q510" s="43">
        <f>IF(ISNUMBER(Finder!$G$5),Finder!$D$8*Assumptions!$C$16*2*ASIN(SQRT(SIN(RADIANS(E510-Finder!$G$5)/2)^2+COS(RADIANS(Finder!$G$5))*COS(RADIANS(E510))*SIN(RADIANS(F510-Finder!$G$6)/2)^2)),"")</f>
        <v>318.45988399402211</v>
      </c>
      <c r="R510" s="39">
        <f>IF(ISNUMBER(Q510),IF(Q510&lt;=Finder!$D$7,1,0),0)</f>
        <v>0</v>
      </c>
      <c r="S510" s="39" t="str">
        <f>IF(R510=1,O510+ROW()*0.000000001,"")</f>
        <v/>
      </c>
      <c r="T510" s="39" t="str">
        <f>IF(O510&gt;0,INDEX(Calc!$B$4:$B$11,MATCH(MAX(G510:N510),G510:N510,0)),"-")</f>
        <v>Mustard Stalk</v>
      </c>
    </row>
    <row r="511" spans="1:20">
      <c r="A511" s="39">
        <v>508</v>
      </c>
      <c r="B511" s="39" t="s">
        <v>588</v>
      </c>
      <c r="C511" s="39" t="s">
        <v>590</v>
      </c>
      <c r="D511" s="39" t="str">
        <f>B511&amp;"|"&amp;C511</f>
        <v>Rajasthan|Alwar</v>
      </c>
      <c r="E511" s="40">
        <v>27.55</v>
      </c>
      <c r="F511" s="40">
        <v>76.599999999999994</v>
      </c>
      <c r="G511" s="41">
        <v>0</v>
      </c>
      <c r="H511" s="41">
        <v>37.35</v>
      </c>
      <c r="I511" s="41">
        <v>1.1471</v>
      </c>
      <c r="J511" s="41">
        <v>379.46269999999998</v>
      </c>
      <c r="K511" s="41">
        <v>9.6500000000000002E-2</v>
      </c>
      <c r="L511" s="41">
        <v>1.1299999999999999E-2</v>
      </c>
      <c r="M511" s="41">
        <v>0</v>
      </c>
      <c r="N511" s="41">
        <v>0</v>
      </c>
      <c r="O511" s="42">
        <f>SUM(G511:N511)</f>
        <v>418.06759999999997</v>
      </c>
      <c r="P511" s="42">
        <f>SUMPRODUCT(G511:N511,$G$2:$N$2)*1000/Assumptions!$C$15</f>
        <v>125.69079947419354</v>
      </c>
      <c r="Q511" s="43">
        <f>IF(ISNUMBER(Finder!$G$5),Finder!$D$8*Assumptions!$C$16*2*ASIN(SQRT(SIN(RADIANS(E511-Finder!$G$5)/2)^2+COS(RADIANS(Finder!$G$5))*COS(RADIANS(E511))*SIN(RADIANS(F511-Finder!$G$6)/2)^2)),"")</f>
        <v>197.65522844071847</v>
      </c>
      <c r="R511" s="39">
        <f>IF(ISNUMBER(Q511),IF(Q511&lt;=Finder!$D$7,1,0),0)</f>
        <v>0</v>
      </c>
      <c r="S511" s="39" t="str">
        <f>IF(R511=1,O511+ROW()*0.000000001,"")</f>
        <v/>
      </c>
      <c r="T511" s="39" t="str">
        <f>IF(O511&gt;0,INDEX(Calc!$B$4:$B$11,MATCH(MAX(G511:N511),G511:N511,0)),"-")</f>
        <v>Mustard Stalk</v>
      </c>
    </row>
    <row r="512" spans="1:20">
      <c r="A512" s="39">
        <v>509</v>
      </c>
      <c r="B512" s="39" t="s">
        <v>588</v>
      </c>
      <c r="C512" s="39" t="s">
        <v>591</v>
      </c>
      <c r="D512" s="39" t="str">
        <f>B512&amp;"|"&amp;C512</f>
        <v>Rajasthan|Balotra</v>
      </c>
      <c r="E512" s="40">
        <v>25.83</v>
      </c>
      <c r="F512" s="40">
        <v>72.239999999999995</v>
      </c>
      <c r="G512" s="41">
        <v>0</v>
      </c>
      <c r="H512" s="41">
        <v>3.6</v>
      </c>
      <c r="I512" s="41">
        <v>5.7999999999999996E-3</v>
      </c>
      <c r="J512" s="41">
        <v>0</v>
      </c>
      <c r="K512" s="41">
        <v>0</v>
      </c>
      <c r="L512" s="41">
        <v>0</v>
      </c>
      <c r="M512" s="41">
        <v>0</v>
      </c>
      <c r="N512" s="41">
        <v>0</v>
      </c>
      <c r="O512" s="42">
        <f>SUM(G512:N512)</f>
        <v>3.6057999999999999</v>
      </c>
      <c r="P512" s="42">
        <f>SUMPRODUCT(G512:N512,$G$2:$N$2)*1000/Assumptions!$C$15</f>
        <v>1.3213015624633431</v>
      </c>
      <c r="Q512" s="43">
        <f>IF(ISNUMBER(Finder!$G$5),Finder!$D$8*Assumptions!$C$16*2*ASIN(SQRT(SIN(RADIANS(E512-Finder!$G$5)/2)^2+COS(RADIANS(Finder!$G$5))*COS(RADIANS(E512))*SIN(RADIANS(F512-Finder!$G$6)/2)^2)),"")</f>
        <v>504.03316315017224</v>
      </c>
      <c r="R512" s="39">
        <f>IF(ISNUMBER(Q512),IF(Q512&lt;=Finder!$D$7,1,0),0)</f>
        <v>0</v>
      </c>
      <c r="S512" s="39" t="str">
        <f>IF(R512=1,O512+ROW()*0.000000001,"")</f>
        <v/>
      </c>
      <c r="T512" s="39" t="str">
        <f>IF(O512&gt;0,INDEX(Calc!$B$4:$B$11,MATCH(MAX(G512:N512),G512:N512,0)),"-")</f>
        <v>Wheat Straw</v>
      </c>
    </row>
    <row r="513" spans="1:20">
      <c r="A513" s="39">
        <v>510</v>
      </c>
      <c r="B513" s="39" t="s">
        <v>588</v>
      </c>
      <c r="C513" s="39" t="s">
        <v>592</v>
      </c>
      <c r="D513" s="39" t="str">
        <f>B513&amp;"|"&amp;C513</f>
        <v>Rajasthan|Banswara</v>
      </c>
      <c r="E513" s="40">
        <v>23.55</v>
      </c>
      <c r="F513" s="40">
        <v>74.44</v>
      </c>
      <c r="G513" s="41">
        <v>10.5</v>
      </c>
      <c r="H513" s="41">
        <v>44.55</v>
      </c>
      <c r="I513" s="41">
        <v>119.8344</v>
      </c>
      <c r="J513" s="41">
        <v>0</v>
      </c>
      <c r="K513" s="41">
        <v>0.28100000000000003</v>
      </c>
      <c r="L513" s="41">
        <v>3.2800000000000003E-2</v>
      </c>
      <c r="M513" s="41">
        <v>68.867800000000003</v>
      </c>
      <c r="N513" s="41">
        <v>0</v>
      </c>
      <c r="O513" s="42">
        <f>SUM(G513:N513)</f>
        <v>244.06600000000003</v>
      </c>
      <c r="P513" s="42">
        <f>SUMPRODUCT(G513:N513,$G$2:$N$2)*1000/Assumptions!$C$15</f>
        <v>77.27135419941348</v>
      </c>
      <c r="Q513" s="43">
        <f>IF(ISNUMBER(Finder!$G$5),Finder!$D$8*Assumptions!$C$16*2*ASIN(SQRT(SIN(RADIANS(E513-Finder!$G$5)/2)^2+COS(RADIANS(Finder!$G$5))*COS(RADIANS(E513))*SIN(RADIANS(F513-Finder!$G$6)/2)^2)),"")</f>
        <v>635.60128841473693</v>
      </c>
      <c r="R513" s="39">
        <f>IF(ISNUMBER(Q513),IF(Q513&lt;=Finder!$D$7,1,0),0)</f>
        <v>0</v>
      </c>
      <c r="S513" s="39" t="str">
        <f>IF(R513=1,O513+ROW()*0.000000001,"")</f>
        <v/>
      </c>
      <c r="T513" s="39" t="str">
        <f>IF(O513&gt;0,INDEX(Calc!$B$4:$B$11,MATCH(MAX(G513:N513),G513:N513,0)),"-")</f>
        <v>Maize Stover</v>
      </c>
    </row>
    <row r="514" spans="1:20">
      <c r="A514" s="39">
        <v>511</v>
      </c>
      <c r="B514" s="39" t="s">
        <v>588</v>
      </c>
      <c r="C514" s="39" t="s">
        <v>593</v>
      </c>
      <c r="D514" s="39" t="str">
        <f>B514&amp;"|"&amp;C514</f>
        <v>Rajasthan|Baran</v>
      </c>
      <c r="E514" s="40">
        <v>25.1</v>
      </c>
      <c r="F514" s="40">
        <v>76.510000000000005</v>
      </c>
      <c r="G514" s="41">
        <v>17.22</v>
      </c>
      <c r="H514" s="41">
        <v>76.95</v>
      </c>
      <c r="I514" s="41">
        <v>31.0107</v>
      </c>
      <c r="J514" s="41">
        <v>155.91</v>
      </c>
      <c r="K514" s="41">
        <v>6.4299999999999996E-2</v>
      </c>
      <c r="L514" s="41">
        <v>7.4999999999999997E-3</v>
      </c>
      <c r="M514" s="41">
        <v>230.21510000000001</v>
      </c>
      <c r="N514" s="41">
        <v>0</v>
      </c>
      <c r="O514" s="42">
        <f>SUM(G514:N514)</f>
        <v>511.37759999999997</v>
      </c>
      <c r="P514" s="42">
        <f>SUMPRODUCT(G514:N514,$G$2:$N$2)*1000/Assumptions!$C$15</f>
        <v>162.2274441797654</v>
      </c>
      <c r="Q514" s="43">
        <f>IF(ISNUMBER(Finder!$G$5),Finder!$D$8*Assumptions!$C$16*2*ASIN(SQRT(SIN(RADIANS(E514-Finder!$G$5)/2)^2+COS(RADIANS(Finder!$G$5))*COS(RADIANS(E514))*SIN(RADIANS(F514-Finder!$G$6)/2)^2)),"")</f>
        <v>457.07060414869613</v>
      </c>
      <c r="R514" s="39">
        <f>IF(ISNUMBER(Q514),IF(Q514&lt;=Finder!$D$7,1,0),0)</f>
        <v>0</v>
      </c>
      <c r="S514" s="39" t="str">
        <f>IF(R514=1,O514+ROW()*0.000000001,"")</f>
        <v/>
      </c>
      <c r="T514" s="39" t="str">
        <f>IF(O514&gt;0,INDEX(Calc!$B$4:$B$11,MATCH(MAX(G514:N514),G514:N514,0)),"-")</f>
        <v>Soya Trash</v>
      </c>
    </row>
    <row r="515" spans="1:20">
      <c r="A515" s="39">
        <v>512</v>
      </c>
      <c r="B515" s="39" t="s">
        <v>588</v>
      </c>
      <c r="C515" s="39" t="s">
        <v>594</v>
      </c>
      <c r="D515" s="39" t="str">
        <f>B515&amp;"|"&amp;C515</f>
        <v>Rajasthan|Barmer</v>
      </c>
      <c r="E515" s="40">
        <v>25.75</v>
      </c>
      <c r="F515" s="40">
        <v>71.39</v>
      </c>
      <c r="G515" s="41">
        <v>0</v>
      </c>
      <c r="H515" s="41">
        <v>1.35</v>
      </c>
      <c r="I515" s="41">
        <v>5.7999999999999996E-3</v>
      </c>
      <c r="J515" s="41">
        <v>35.197299999999998</v>
      </c>
      <c r="K515" s="41">
        <v>0</v>
      </c>
      <c r="L515" s="41">
        <v>0</v>
      </c>
      <c r="M515" s="41">
        <v>0</v>
      </c>
      <c r="N515" s="41">
        <v>0</v>
      </c>
      <c r="O515" s="42">
        <f>SUM(G515:N515)</f>
        <v>36.553100000000001</v>
      </c>
      <c r="P515" s="42">
        <f>SUMPRODUCT(G515:N515,$G$2:$N$2)*1000/Assumptions!$C$15</f>
        <v>10.850960204105572</v>
      </c>
      <c r="Q515" s="43">
        <f>IF(ISNUMBER(Finder!$G$5),Finder!$D$8*Assumptions!$C$16*2*ASIN(SQRT(SIN(RADIANS(E515-Finder!$G$5)/2)^2+COS(RADIANS(Finder!$G$5))*COS(RADIANS(E515))*SIN(RADIANS(F515-Finder!$G$6)/2)^2)),"")</f>
        <v>570.41449637894959</v>
      </c>
      <c r="R515" s="39">
        <f>IF(ISNUMBER(Q515),IF(Q515&lt;=Finder!$D$7,1,0),0)</f>
        <v>0</v>
      </c>
      <c r="S515" s="39" t="str">
        <f>IF(R515=1,O515+ROW()*0.000000001,"")</f>
        <v/>
      </c>
      <c r="T515" s="39" t="str">
        <f>IF(O515&gt;0,INDEX(Calc!$B$4:$B$11,MATCH(MAX(G515:N515),G515:N515,0)),"-")</f>
        <v>Mustard Stalk</v>
      </c>
    </row>
    <row r="516" spans="1:20">
      <c r="A516" s="39">
        <v>513</v>
      </c>
      <c r="B516" s="39" t="s">
        <v>588</v>
      </c>
      <c r="C516" s="39" t="s">
        <v>595</v>
      </c>
      <c r="D516" s="39" t="str">
        <f>B516&amp;"|"&amp;C516</f>
        <v>Rajasthan|Beawar</v>
      </c>
      <c r="E516" s="40">
        <v>26.1</v>
      </c>
      <c r="F516" s="40">
        <v>74.319999999999993</v>
      </c>
      <c r="G516" s="41">
        <v>0</v>
      </c>
      <c r="H516" s="41">
        <v>19.8</v>
      </c>
      <c r="I516" s="41">
        <v>14.259499999999999</v>
      </c>
      <c r="J516" s="41">
        <v>0</v>
      </c>
      <c r="K516" s="41">
        <v>4.82E-2</v>
      </c>
      <c r="L516" s="41">
        <v>5.5999999999999999E-3</v>
      </c>
      <c r="M516" s="41">
        <v>6.6500000000000004E-2</v>
      </c>
      <c r="N516" s="41">
        <v>0</v>
      </c>
      <c r="O516" s="42">
        <f>SUM(G516:N516)</f>
        <v>34.1798</v>
      </c>
      <c r="P516" s="42">
        <f>SUMPRODUCT(G516:N516,$G$2:$N$2)*1000/Assumptions!$C$15</f>
        <v>11.489395805278592</v>
      </c>
      <c r="Q516" s="43">
        <f>IF(ISNUMBER(Finder!$G$5),Finder!$D$8*Assumptions!$C$16*2*ASIN(SQRT(SIN(RADIANS(E516-Finder!$G$5)/2)^2+COS(RADIANS(Finder!$G$5))*COS(RADIANS(E516))*SIN(RADIANS(F516-Finder!$G$6)/2)^2)),"")</f>
        <v>366.10696843520986</v>
      </c>
      <c r="R516" s="39">
        <f>IF(ISNUMBER(Q516),IF(Q516&lt;=Finder!$D$7,1,0),0)</f>
        <v>0</v>
      </c>
      <c r="S516" s="39" t="str">
        <f>IF(R516=1,O516+ROW()*0.000000001,"")</f>
        <v/>
      </c>
      <c r="T516" s="39" t="str">
        <f>IF(O516&gt;0,INDEX(Calc!$B$4:$B$11,MATCH(MAX(G516:N516),G516:N516,0)),"-")</f>
        <v>Wheat Straw</v>
      </c>
    </row>
    <row r="517" spans="1:20">
      <c r="A517" s="39">
        <v>514</v>
      </c>
      <c r="B517" s="39" t="s">
        <v>588</v>
      </c>
      <c r="C517" s="39" t="s">
        <v>596</v>
      </c>
      <c r="D517" s="39" t="str">
        <f>B517&amp;"|"&amp;C517</f>
        <v>Rajasthan|Bharatpur</v>
      </c>
      <c r="E517" s="40">
        <v>27.22</v>
      </c>
      <c r="F517" s="40">
        <v>77.489999999999995</v>
      </c>
      <c r="G517" s="41">
        <v>0.42</v>
      </c>
      <c r="H517" s="41">
        <v>25.65</v>
      </c>
      <c r="I517" s="41">
        <v>0</v>
      </c>
      <c r="J517" s="41">
        <v>323.5378</v>
      </c>
      <c r="K517" s="41">
        <v>3.2000000000000001E-2</v>
      </c>
      <c r="L517" s="41">
        <v>3.7000000000000002E-3</v>
      </c>
      <c r="M517" s="41">
        <v>0</v>
      </c>
      <c r="N517" s="41">
        <v>0</v>
      </c>
      <c r="O517" s="42">
        <f>SUM(G517:N517)</f>
        <v>349.64349999999996</v>
      </c>
      <c r="P517" s="42">
        <f>SUMPRODUCT(G517:N517,$G$2:$N$2)*1000/Assumptions!$C$15</f>
        <v>104.74545263900293</v>
      </c>
      <c r="Q517" s="43">
        <f>IF(ISNUMBER(Finder!$G$5),Finder!$D$8*Assumptions!$C$16*2*ASIN(SQRT(SIN(RADIANS(E517-Finder!$G$5)/2)^2+COS(RADIANS(Finder!$G$5))*COS(RADIANS(E517))*SIN(RADIANS(F517-Finder!$G$6)/2)^2)),"")</f>
        <v>275.94319052106408</v>
      </c>
      <c r="R517" s="39">
        <f>IF(ISNUMBER(Q517),IF(Q517&lt;=Finder!$D$7,1,0),0)</f>
        <v>0</v>
      </c>
      <c r="S517" s="39" t="str">
        <f>IF(R517=1,O517+ROW()*0.000000001,"")</f>
        <v/>
      </c>
      <c r="T517" s="39" t="str">
        <f>IF(O517&gt;0,INDEX(Calc!$B$4:$B$11,MATCH(MAX(G517:N517),G517:N517,0)),"-")</f>
        <v>Mustard Stalk</v>
      </c>
    </row>
    <row r="518" spans="1:20">
      <c r="A518" s="39">
        <v>515</v>
      </c>
      <c r="B518" s="39" t="s">
        <v>588</v>
      </c>
      <c r="C518" s="39" t="s">
        <v>597</v>
      </c>
      <c r="D518" s="39" t="str">
        <f>B518&amp;"|"&amp;C518</f>
        <v>Rajasthan|Bhilwara</v>
      </c>
      <c r="E518" s="40">
        <v>25.35</v>
      </c>
      <c r="F518" s="40">
        <v>74.63</v>
      </c>
      <c r="G518" s="41">
        <v>1.26</v>
      </c>
      <c r="H518" s="41">
        <v>67.95</v>
      </c>
      <c r="I518" s="41">
        <v>258.76929999999999</v>
      </c>
      <c r="J518" s="41">
        <v>75.433000000000007</v>
      </c>
      <c r="K518" s="41">
        <v>0.33050000000000002</v>
      </c>
      <c r="L518" s="41">
        <v>3.8600000000000002E-2</v>
      </c>
      <c r="M518" s="41">
        <v>5.3349000000000002</v>
      </c>
      <c r="N518" s="41">
        <v>0</v>
      </c>
      <c r="O518" s="42">
        <f>SUM(G518:N518)</f>
        <v>409.11629999999991</v>
      </c>
      <c r="P518" s="42">
        <f>SUMPRODUCT(G518:N518,$G$2:$N$2)*1000/Assumptions!$C$15</f>
        <v>125.47808540821117</v>
      </c>
      <c r="Q518" s="43">
        <f>IF(ISNUMBER(Finder!$G$5),Finder!$D$8*Assumptions!$C$16*2*ASIN(SQRT(SIN(RADIANS(E518-Finder!$G$5)/2)^2+COS(RADIANS(Finder!$G$5))*COS(RADIANS(E518))*SIN(RADIANS(F518-Finder!$G$6)/2)^2)),"")</f>
        <v>436.05416796507285</v>
      </c>
      <c r="R518" s="39">
        <f>IF(ISNUMBER(Q518),IF(Q518&lt;=Finder!$D$7,1,0),0)</f>
        <v>0</v>
      </c>
      <c r="S518" s="39" t="str">
        <f>IF(R518=1,O518+ROW()*0.000000001,"")</f>
        <v/>
      </c>
      <c r="T518" s="39" t="str">
        <f>IF(O518&gt;0,INDEX(Calc!$B$4:$B$11,MATCH(MAX(G518:N518),G518:N518,0)),"-")</f>
        <v>Maize Stover</v>
      </c>
    </row>
    <row r="519" spans="1:20">
      <c r="A519" s="39">
        <v>516</v>
      </c>
      <c r="B519" s="39" t="s">
        <v>588</v>
      </c>
      <c r="C519" s="39" t="s">
        <v>598</v>
      </c>
      <c r="D519" s="39" t="str">
        <f>B519&amp;"|"&amp;C519</f>
        <v>Rajasthan|Bikaner</v>
      </c>
      <c r="E519" s="40">
        <v>28.02</v>
      </c>
      <c r="F519" s="40">
        <v>73.31</v>
      </c>
      <c r="G519" s="41">
        <v>0</v>
      </c>
      <c r="H519" s="41">
        <v>52.2</v>
      </c>
      <c r="I519" s="41">
        <v>0</v>
      </c>
      <c r="J519" s="41">
        <v>221.11189999999999</v>
      </c>
      <c r="K519" s="41">
        <v>0</v>
      </c>
      <c r="L519" s="41">
        <v>0</v>
      </c>
      <c r="M519" s="41">
        <v>0</v>
      </c>
      <c r="N519" s="41">
        <v>0</v>
      </c>
      <c r="O519" s="42">
        <f>SUM(G519:N519)</f>
        <v>273.31189999999998</v>
      </c>
      <c r="P519" s="42">
        <f>SUMPRODUCT(G519:N519,$G$2:$N$2)*1000/Assumptions!$C$15</f>
        <v>84.18123272844575</v>
      </c>
      <c r="Q519" s="43">
        <f>IF(ISNUMBER(Finder!$G$5),Finder!$D$8*Assumptions!$C$16*2*ASIN(SQRT(SIN(RADIANS(E519-Finder!$G$5)/2)^2+COS(RADIANS(Finder!$G$5))*COS(RADIANS(E519))*SIN(RADIANS(F519-Finder!$G$6)/2)^2)),"")</f>
        <v>266.75081177090902</v>
      </c>
      <c r="R519" s="39">
        <f>IF(ISNUMBER(Q519),IF(Q519&lt;=Finder!$D$7,1,0),0)</f>
        <v>0</v>
      </c>
      <c r="S519" s="39" t="str">
        <f>IF(R519=1,O519+ROW()*0.000000001,"")</f>
        <v/>
      </c>
      <c r="T519" s="39" t="str">
        <f>IF(O519&gt;0,INDEX(Calc!$B$4:$B$11,MATCH(MAX(G519:N519),G519:N519,0)),"-")</f>
        <v>Mustard Stalk</v>
      </c>
    </row>
    <row r="520" spans="1:20">
      <c r="A520" s="39">
        <v>517</v>
      </c>
      <c r="B520" s="39" t="s">
        <v>588</v>
      </c>
      <c r="C520" s="39" t="s">
        <v>599</v>
      </c>
      <c r="D520" s="39" t="str">
        <f>B520&amp;"|"&amp;C520</f>
        <v>Rajasthan|Bundi</v>
      </c>
      <c r="E520" s="40">
        <v>25.44</v>
      </c>
      <c r="F520" s="40">
        <v>75.64</v>
      </c>
      <c r="G520" s="41">
        <v>42</v>
      </c>
      <c r="H520" s="41">
        <v>61.65</v>
      </c>
      <c r="I520" s="41">
        <v>61.6387</v>
      </c>
      <c r="J520" s="41">
        <v>93.943399999999997</v>
      </c>
      <c r="K520" s="41">
        <v>3.8988</v>
      </c>
      <c r="L520" s="41">
        <v>0.45490000000000003</v>
      </c>
      <c r="M520" s="41">
        <v>44.260100000000001</v>
      </c>
      <c r="N520" s="41">
        <v>0</v>
      </c>
      <c r="O520" s="42">
        <f>SUM(G520:N520)</f>
        <v>307.84590000000003</v>
      </c>
      <c r="P520" s="42">
        <f>SUMPRODUCT(G520:N520,$G$2:$N$2)*1000/Assumptions!$C$15</f>
        <v>99.012702844281549</v>
      </c>
      <c r="Q520" s="43">
        <f>IF(ISNUMBER(Finder!$G$5),Finder!$D$8*Assumptions!$C$16*2*ASIN(SQRT(SIN(RADIANS(E520-Finder!$G$5)/2)^2+COS(RADIANS(Finder!$G$5))*COS(RADIANS(E520))*SIN(RADIANS(F520-Finder!$G$6)/2)^2)),"")</f>
        <v>412.60886404575854</v>
      </c>
      <c r="R520" s="39">
        <f>IF(ISNUMBER(Q520),IF(Q520&lt;=Finder!$D$7,1,0),0)</f>
        <v>0</v>
      </c>
      <c r="S520" s="39" t="str">
        <f>IF(R520=1,O520+ROW()*0.000000001,"")</f>
        <v/>
      </c>
      <c r="T520" s="39" t="str">
        <f>IF(O520&gt;0,INDEX(Calc!$B$4:$B$11,MATCH(MAX(G520:N520),G520:N520,0)),"-")</f>
        <v>Mustard Stalk</v>
      </c>
    </row>
    <row r="521" spans="1:20">
      <c r="A521" s="39">
        <v>518</v>
      </c>
      <c r="B521" s="39" t="s">
        <v>588</v>
      </c>
      <c r="C521" s="39" t="s">
        <v>600</v>
      </c>
      <c r="D521" s="39" t="str">
        <f>B521&amp;"|"&amp;C521</f>
        <v>Rajasthan|Chittorgarh</v>
      </c>
      <c r="E521" s="40">
        <v>24.88</v>
      </c>
      <c r="F521" s="40">
        <v>74.62</v>
      </c>
      <c r="G521" s="41">
        <v>0.84</v>
      </c>
      <c r="H521" s="41">
        <v>59.85</v>
      </c>
      <c r="I521" s="41">
        <v>244.37379999999999</v>
      </c>
      <c r="J521" s="41">
        <v>57.627099999999999</v>
      </c>
      <c r="K521" s="41">
        <v>8.8193000000000001</v>
      </c>
      <c r="L521" s="41">
        <v>1.0288999999999999</v>
      </c>
      <c r="M521" s="41">
        <v>93.259200000000007</v>
      </c>
      <c r="N521" s="41">
        <v>0</v>
      </c>
      <c r="O521" s="42">
        <f>SUM(G521:N521)</f>
        <v>465.79830000000004</v>
      </c>
      <c r="P521" s="42">
        <f>SUMPRODUCT(G521:N521,$G$2:$N$2)*1000/Assumptions!$C$15</f>
        <v>143.41933879501468</v>
      </c>
      <c r="Q521" s="43">
        <f>IF(ISNUMBER(Finder!$G$5),Finder!$D$8*Assumptions!$C$16*2*ASIN(SQRT(SIN(RADIANS(E521-Finder!$G$5)/2)^2+COS(RADIANS(Finder!$G$5))*COS(RADIANS(E521))*SIN(RADIANS(F521-Finder!$G$6)/2)^2)),"")</f>
        <v>487.13603088882201</v>
      </c>
      <c r="R521" s="39">
        <f>IF(ISNUMBER(Q521),IF(Q521&lt;=Finder!$D$7,1,0),0)</f>
        <v>0</v>
      </c>
      <c r="S521" s="39" t="str">
        <f>IF(R521=1,O521+ROW()*0.000000001,"")</f>
        <v/>
      </c>
      <c r="T521" s="39" t="str">
        <f>IF(O521&gt;0,INDEX(Calc!$B$4:$B$11,MATCH(MAX(G521:N521),G521:N521,0)),"-")</f>
        <v>Maize Stover</v>
      </c>
    </row>
    <row r="522" spans="1:20">
      <c r="A522" s="39">
        <v>519</v>
      </c>
      <c r="B522" s="39" t="s">
        <v>588</v>
      </c>
      <c r="C522" s="39" t="s">
        <v>601</v>
      </c>
      <c r="D522" s="39" t="str">
        <f>B522&amp;"|"&amp;C522</f>
        <v>Rajasthan|Churu</v>
      </c>
      <c r="E522" s="40">
        <v>28.3</v>
      </c>
      <c r="F522" s="40">
        <v>74.95</v>
      </c>
      <c r="G522" s="41">
        <v>0</v>
      </c>
      <c r="H522" s="41">
        <v>20.25</v>
      </c>
      <c r="I522" s="41">
        <v>0</v>
      </c>
      <c r="J522" s="41">
        <v>88.301100000000005</v>
      </c>
      <c r="K522" s="41">
        <v>0</v>
      </c>
      <c r="L522" s="41">
        <v>0</v>
      </c>
      <c r="M522" s="41">
        <v>0</v>
      </c>
      <c r="N522" s="41">
        <v>0</v>
      </c>
      <c r="O522" s="42">
        <f>SUM(G522:N522)</f>
        <v>108.55110000000001</v>
      </c>
      <c r="P522" s="42">
        <f>SUMPRODUCT(G522:N522,$G$2:$N$2)*1000/Assumptions!$C$15</f>
        <v>33.399301752492669</v>
      </c>
      <c r="Q522" s="43">
        <f>IF(ISNUMBER(Finder!$G$5),Finder!$D$8*Assumptions!$C$16*2*ASIN(SQRT(SIN(RADIANS(E522-Finder!$G$5)/2)^2+COS(RADIANS(Finder!$G$5))*COS(RADIANS(E522))*SIN(RADIANS(F522-Finder!$G$6)/2)^2)),"")</f>
        <v>120.70838548806472</v>
      </c>
      <c r="R522" s="39">
        <f>IF(ISNUMBER(Q522),IF(Q522&lt;=Finder!$D$7,1,0),0)</f>
        <v>0</v>
      </c>
      <c r="S522" s="39" t="str">
        <f>IF(R522=1,O522+ROW()*0.000000001,"")</f>
        <v/>
      </c>
      <c r="T522" s="39" t="str">
        <f>IF(O522&gt;0,INDEX(Calc!$B$4:$B$11,MATCH(MAX(G522:N522),G522:N522,0)),"-")</f>
        <v>Mustard Stalk</v>
      </c>
    </row>
    <row r="523" spans="1:20">
      <c r="A523" s="39">
        <v>520</v>
      </c>
      <c r="B523" s="39" t="s">
        <v>588</v>
      </c>
      <c r="C523" s="39" t="s">
        <v>602</v>
      </c>
      <c r="D523" s="39" t="str">
        <f>B523&amp;"|"&amp;C523</f>
        <v>Rajasthan|Dausa</v>
      </c>
      <c r="E523" s="40">
        <v>26.89</v>
      </c>
      <c r="F523" s="40">
        <v>76.34</v>
      </c>
      <c r="G523" s="41">
        <v>0</v>
      </c>
      <c r="H523" s="41">
        <v>31.5</v>
      </c>
      <c r="I523" s="41">
        <v>0.40629999999999999</v>
      </c>
      <c r="J523" s="41">
        <v>95.5929</v>
      </c>
      <c r="K523" s="41">
        <v>0</v>
      </c>
      <c r="L523" s="41">
        <v>0</v>
      </c>
      <c r="M523" s="41">
        <v>0</v>
      </c>
      <c r="N523" s="41">
        <v>0</v>
      </c>
      <c r="O523" s="42">
        <f>SUM(G523:N523)</f>
        <v>127.4992</v>
      </c>
      <c r="P523" s="42">
        <f>SUMPRODUCT(G523:N523,$G$2:$N$2)*1000/Assumptions!$C$15</f>
        <v>39.787678144281529</v>
      </c>
      <c r="Q523" s="43">
        <f>IF(ISNUMBER(Finder!$G$5),Finder!$D$8*Assumptions!$C$16*2*ASIN(SQRT(SIN(RADIANS(E523-Finder!$G$5)/2)^2+COS(RADIANS(Finder!$G$5))*COS(RADIANS(E523))*SIN(RADIANS(F523-Finder!$G$6)/2)^2)),"")</f>
        <v>258.5633090610811</v>
      </c>
      <c r="R523" s="39">
        <f>IF(ISNUMBER(Q523),IF(Q523&lt;=Finder!$D$7,1,0),0)</f>
        <v>0</v>
      </c>
      <c r="S523" s="39" t="str">
        <f>IF(R523=1,O523+ROW()*0.000000001,"")</f>
        <v/>
      </c>
      <c r="T523" s="39" t="str">
        <f>IF(O523&gt;0,INDEX(Calc!$B$4:$B$11,MATCH(MAX(G523:N523),G523:N523,0)),"-")</f>
        <v>Mustard Stalk</v>
      </c>
    </row>
    <row r="524" spans="1:20">
      <c r="A524" s="39">
        <v>521</v>
      </c>
      <c r="B524" s="39" t="s">
        <v>588</v>
      </c>
      <c r="C524" s="39" t="s">
        <v>603</v>
      </c>
      <c r="D524" s="39" t="str">
        <f>B524&amp;"|"&amp;C524</f>
        <v>Rajasthan|Deeg</v>
      </c>
      <c r="E524" s="40">
        <v>27.47</v>
      </c>
      <c r="F524" s="40">
        <v>77.33</v>
      </c>
      <c r="G524" s="41">
        <v>1.68</v>
      </c>
      <c r="H524" s="41">
        <v>25.2</v>
      </c>
      <c r="I524" s="41">
        <v>0</v>
      </c>
      <c r="J524" s="41">
        <v>0</v>
      </c>
      <c r="K524" s="41">
        <v>3.2000000000000001E-2</v>
      </c>
      <c r="L524" s="41">
        <v>3.7000000000000002E-3</v>
      </c>
      <c r="M524" s="41">
        <v>0</v>
      </c>
      <c r="N524" s="41">
        <v>0</v>
      </c>
      <c r="O524" s="42">
        <f>SUM(G524:N524)</f>
        <v>26.915699999999998</v>
      </c>
      <c r="P524" s="42">
        <f>SUMPRODUCT(G524:N524,$G$2:$N$2)*1000/Assumptions!$C$15</f>
        <v>9.8634233287390014</v>
      </c>
      <c r="Q524" s="43">
        <f>IF(ISNUMBER(Finder!$G$5),Finder!$D$8*Assumptions!$C$16*2*ASIN(SQRT(SIN(RADIANS(E524-Finder!$G$5)/2)^2+COS(RADIANS(Finder!$G$5))*COS(RADIANS(E524))*SIN(RADIANS(F524-Finder!$G$6)/2)^2)),"")</f>
        <v>244.40695036037158</v>
      </c>
      <c r="R524" s="39">
        <f>IF(ISNUMBER(Q524),IF(Q524&lt;=Finder!$D$7,1,0),0)</f>
        <v>0</v>
      </c>
      <c r="S524" s="39" t="str">
        <f>IF(R524=1,O524+ROW()*0.000000001,"")</f>
        <v/>
      </c>
      <c r="T524" s="39" t="str">
        <f>IF(O524&gt;0,INDEX(Calc!$B$4:$B$11,MATCH(MAX(G524:N524),G524:N524,0)),"-")</f>
        <v>Wheat Straw</v>
      </c>
    </row>
    <row r="525" spans="1:20">
      <c r="A525" s="39">
        <v>522</v>
      </c>
      <c r="B525" s="39" t="s">
        <v>588</v>
      </c>
      <c r="C525" s="39" t="s">
        <v>604</v>
      </c>
      <c r="D525" s="39" t="str">
        <f>B525&amp;"|"&amp;C525</f>
        <v>Rajasthan|Dholpur</v>
      </c>
      <c r="E525" s="40">
        <v>26.7</v>
      </c>
      <c r="F525" s="40">
        <v>77.89</v>
      </c>
      <c r="G525" s="41">
        <v>0.42</v>
      </c>
      <c r="H525" s="41">
        <v>25.65</v>
      </c>
      <c r="I525" s="41">
        <v>0</v>
      </c>
      <c r="J525" s="41">
        <v>131.62809999999999</v>
      </c>
      <c r="K525" s="41">
        <v>0.1447</v>
      </c>
      <c r="L525" s="41">
        <v>1.6899999999999998E-2</v>
      </c>
      <c r="M525" s="41">
        <v>0</v>
      </c>
      <c r="N525" s="41">
        <v>0</v>
      </c>
      <c r="O525" s="42">
        <f>SUM(G525:N525)</f>
        <v>157.85969999999998</v>
      </c>
      <c r="P525" s="42">
        <f>SUMPRODUCT(G525:N525,$G$2:$N$2)*1000/Assumptions!$C$15</f>
        <v>48.325914325806458</v>
      </c>
      <c r="Q525" s="43">
        <f>IF(ISNUMBER(Finder!$G$5),Finder!$D$8*Assumptions!$C$16*2*ASIN(SQRT(SIN(RADIANS(E525-Finder!$G$5)/2)^2+COS(RADIANS(Finder!$G$5))*COS(RADIANS(E525))*SIN(RADIANS(F525-Finder!$G$6)/2)^2)),"")</f>
        <v>345.91307689512519</v>
      </c>
      <c r="R525" s="39">
        <f>IF(ISNUMBER(Q525),IF(Q525&lt;=Finder!$D$7,1,0),0)</f>
        <v>0</v>
      </c>
      <c r="S525" s="39" t="str">
        <f>IF(R525=1,O525+ROW()*0.000000001,"")</f>
        <v/>
      </c>
      <c r="T525" s="39" t="str">
        <f>IF(O525&gt;0,INDEX(Calc!$B$4:$B$11,MATCH(MAX(G525:N525),G525:N525,0)),"-")</f>
        <v>Mustard Stalk</v>
      </c>
    </row>
    <row r="526" spans="1:20">
      <c r="A526" s="39">
        <v>523</v>
      </c>
      <c r="B526" s="39" t="s">
        <v>588</v>
      </c>
      <c r="C526" s="39" t="s">
        <v>605</v>
      </c>
      <c r="D526" s="39" t="str">
        <f>B526&amp;"|"&amp;C526</f>
        <v>Rajasthan|Didwana-Kuchaman</v>
      </c>
      <c r="E526" s="40">
        <v>27.4</v>
      </c>
      <c r="F526" s="40">
        <v>74.569999999999993</v>
      </c>
      <c r="G526" s="41">
        <v>0</v>
      </c>
      <c r="H526" s="41">
        <v>13.5</v>
      </c>
      <c r="I526" s="41">
        <v>3.2500000000000001E-2</v>
      </c>
      <c r="J526" s="41">
        <v>0</v>
      </c>
      <c r="K526" s="41">
        <v>4.82E-2</v>
      </c>
      <c r="L526" s="41">
        <v>5.5999999999999999E-3</v>
      </c>
      <c r="M526" s="41">
        <v>7.0000000000000001E-3</v>
      </c>
      <c r="N526" s="41">
        <v>0</v>
      </c>
      <c r="O526" s="42">
        <f>SUM(G526:N526)</f>
        <v>13.593299999999999</v>
      </c>
      <c r="P526" s="42">
        <f>SUMPRODUCT(G526:N526,$G$2:$N$2)*1000/Assumptions!$C$15</f>
        <v>4.9759898521994126</v>
      </c>
      <c r="Q526" s="43">
        <f>IF(ISNUMBER(Finder!$G$5),Finder!$D$8*Assumptions!$C$16*2*ASIN(SQRT(SIN(RADIANS(E526-Finder!$G$5)/2)^2+COS(RADIANS(Finder!$G$5))*COS(RADIANS(E526))*SIN(RADIANS(F526-Finder!$G$6)/2)^2)),"")</f>
        <v>224.8250414466321</v>
      </c>
      <c r="R526" s="39">
        <f>IF(ISNUMBER(Q526),IF(Q526&lt;=Finder!$D$7,1,0),0)</f>
        <v>0</v>
      </c>
      <c r="S526" s="39" t="str">
        <f>IF(R526=1,O526+ROW()*0.000000001,"")</f>
        <v/>
      </c>
      <c r="T526" s="39" t="str">
        <f>IF(O526&gt;0,INDEX(Calc!$B$4:$B$11,MATCH(MAX(G526:N526),G526:N526,0)),"-")</f>
        <v>Wheat Straw</v>
      </c>
    </row>
    <row r="527" spans="1:20">
      <c r="A527" s="39">
        <v>524</v>
      </c>
      <c r="B527" s="39" t="s">
        <v>588</v>
      </c>
      <c r="C527" s="39" t="s">
        <v>606</v>
      </c>
      <c r="D527" s="39" t="str">
        <f>B527&amp;"|"&amp;C527</f>
        <v>Rajasthan|Dungarpur</v>
      </c>
      <c r="E527" s="40">
        <v>23.84</v>
      </c>
      <c r="F527" s="40">
        <v>73.709999999999994</v>
      </c>
      <c r="G527" s="41">
        <v>6.3</v>
      </c>
      <c r="H527" s="41">
        <v>29.25</v>
      </c>
      <c r="I527" s="41">
        <v>31.824400000000001</v>
      </c>
      <c r="J527" s="41">
        <v>6.6799999999999998E-2</v>
      </c>
      <c r="K527" s="41">
        <v>0.1285</v>
      </c>
      <c r="L527" s="41">
        <v>1.4999999999999999E-2</v>
      </c>
      <c r="M527" s="41">
        <v>23.932099999999998</v>
      </c>
      <c r="N527" s="41">
        <v>0</v>
      </c>
      <c r="O527" s="42">
        <f>SUM(G527:N527)</f>
        <v>91.516799999999989</v>
      </c>
      <c r="P527" s="42">
        <f>SUMPRODUCT(G527:N527,$G$2:$N$2)*1000/Assumptions!$C$15</f>
        <v>30.01226555601173</v>
      </c>
      <c r="Q527" s="43">
        <f>IF(ISNUMBER(Finder!$G$5),Finder!$D$8*Assumptions!$C$16*2*ASIN(SQRT(SIN(RADIANS(E527-Finder!$G$5)/2)^2+COS(RADIANS(Finder!$G$5))*COS(RADIANS(E527))*SIN(RADIANS(F527-Finder!$G$6)/2)^2)),"")</f>
        <v>623.36650949532691</v>
      </c>
      <c r="R527" s="39">
        <f>IF(ISNUMBER(Q527),IF(Q527&lt;=Finder!$D$7,1,0),0)</f>
        <v>0</v>
      </c>
      <c r="S527" s="39" t="str">
        <f>IF(R527=1,O527+ROW()*0.000000001,"")</f>
        <v/>
      </c>
      <c r="T527" s="39" t="str">
        <f>IF(O527&gt;0,INDEX(Calc!$B$4:$B$11,MATCH(MAX(G527:N527),G527:N527,0)),"-")</f>
        <v>Maize Stover</v>
      </c>
    </row>
    <row r="528" spans="1:20">
      <c r="A528" s="39">
        <v>525</v>
      </c>
      <c r="B528" s="39" t="s">
        <v>588</v>
      </c>
      <c r="C528" s="39" t="s">
        <v>607</v>
      </c>
      <c r="D528" s="39" t="str">
        <f>B528&amp;"|"&amp;C528</f>
        <v>Rajasthan|Ganganagar</v>
      </c>
      <c r="E528" s="40">
        <v>29.91</v>
      </c>
      <c r="F528" s="40">
        <v>73.88</v>
      </c>
      <c r="G528" s="41">
        <v>7.98</v>
      </c>
      <c r="H528" s="41">
        <v>100.35</v>
      </c>
      <c r="I528" s="41">
        <v>1.3100000000000001E-2</v>
      </c>
      <c r="J528" s="41">
        <v>374.46409999999997</v>
      </c>
      <c r="K528" s="41">
        <v>37.526000000000003</v>
      </c>
      <c r="L528" s="41">
        <v>4.3780000000000001</v>
      </c>
      <c r="M528" s="41">
        <v>0</v>
      </c>
      <c r="N528" s="41">
        <v>0</v>
      </c>
      <c r="O528" s="42">
        <f>SUM(G528:N528)</f>
        <v>524.71119999999996</v>
      </c>
      <c r="P528" s="42">
        <f>SUMPRODUCT(G528:N528,$G$2:$N$2)*1000/Assumptions!$C$15</f>
        <v>162.12659807390031</v>
      </c>
      <c r="Q528" s="43">
        <f>IF(ISNUMBER(Finder!$G$5),Finder!$D$8*Assumptions!$C$16*2*ASIN(SQRT(SIN(RADIANS(E528-Finder!$G$5)/2)^2+COS(RADIANS(Finder!$G$5))*COS(RADIANS(E528))*SIN(RADIANS(F528-Finder!$G$6)/2)^2)),"")</f>
        <v>197.0570250444346</v>
      </c>
      <c r="R528" s="39">
        <f>IF(ISNUMBER(Q528),IF(Q528&lt;=Finder!$D$7,1,0),0)</f>
        <v>0</v>
      </c>
      <c r="S528" s="39" t="str">
        <f>IF(R528=1,O528+ROW()*0.000000001,"")</f>
        <v/>
      </c>
      <c r="T528" s="39" t="str">
        <f>IF(O528&gt;0,INDEX(Calc!$B$4:$B$11,MATCH(MAX(G528:N528),G528:N528,0)),"-")</f>
        <v>Mustard Stalk</v>
      </c>
    </row>
    <row r="529" spans="1:20">
      <c r="A529" s="39">
        <v>526</v>
      </c>
      <c r="B529" s="39" t="s">
        <v>588</v>
      </c>
      <c r="C529" s="39" t="s">
        <v>608</v>
      </c>
      <c r="D529" s="39" t="str">
        <f>B529&amp;"|"&amp;C529</f>
        <v>Rajasthan|Hanumangarh</v>
      </c>
      <c r="E529" s="40">
        <v>29.58</v>
      </c>
      <c r="F529" s="40">
        <v>74.33</v>
      </c>
      <c r="G529" s="41">
        <v>27.72</v>
      </c>
      <c r="H529" s="41">
        <v>102.6</v>
      </c>
      <c r="I529" s="41">
        <v>1.7299999999999999E-2</v>
      </c>
      <c r="J529" s="41">
        <v>230.8843</v>
      </c>
      <c r="K529" s="41">
        <v>0.59809999999999997</v>
      </c>
      <c r="L529" s="41">
        <v>6.9800000000000001E-2</v>
      </c>
      <c r="M529" s="41">
        <v>0</v>
      </c>
      <c r="N529" s="41">
        <v>0</v>
      </c>
      <c r="O529" s="42">
        <f>SUM(G529:N529)</f>
        <v>361.88949999999994</v>
      </c>
      <c r="P529" s="42">
        <f>SUMPRODUCT(G529:N529,$G$2:$N$2)*1000/Assumptions!$C$15</f>
        <v>115.89170332375365</v>
      </c>
      <c r="Q529" s="43">
        <f>IF(ISNUMBER(Finder!$G$5),Finder!$D$8*Assumptions!$C$16*2*ASIN(SQRT(SIN(RADIANS(E529-Finder!$G$5)/2)^2+COS(RADIANS(Finder!$G$5))*COS(RADIANS(E529))*SIN(RADIANS(F529-Finder!$G$6)/2)^2)),"")</f>
        <v>142.93494424832073</v>
      </c>
      <c r="R529" s="39">
        <f>IF(ISNUMBER(Q529),IF(Q529&lt;=Finder!$D$7,1,0),0)</f>
        <v>0</v>
      </c>
      <c r="S529" s="39" t="str">
        <f>IF(R529=1,O529+ROW()*0.000000001,"")</f>
        <v/>
      </c>
      <c r="T529" s="39" t="str">
        <f>IF(O529&gt;0,INDEX(Calc!$B$4:$B$11,MATCH(MAX(G529:N529),G529:N529,0)),"-")</f>
        <v>Mustard Stalk</v>
      </c>
    </row>
    <row r="530" spans="1:20">
      <c r="A530" s="39">
        <v>527</v>
      </c>
      <c r="B530" s="39" t="s">
        <v>588</v>
      </c>
      <c r="C530" s="39" t="s">
        <v>609</v>
      </c>
      <c r="D530" s="39" t="str">
        <f>B530&amp;"|"&amp;C530</f>
        <v>Rajasthan|Jaipur</v>
      </c>
      <c r="E530" s="40">
        <v>26.91</v>
      </c>
      <c r="F530" s="40">
        <v>75.790000000000006</v>
      </c>
      <c r="G530" s="41">
        <v>0</v>
      </c>
      <c r="H530" s="41">
        <v>52.2</v>
      </c>
      <c r="I530" s="41">
        <v>1.0689</v>
      </c>
      <c r="J530" s="41">
        <v>157.15770000000001</v>
      </c>
      <c r="K530" s="41">
        <v>0.21560000000000001</v>
      </c>
      <c r="L530" s="41">
        <v>2.52E-2</v>
      </c>
      <c r="M530" s="41">
        <v>3.5000000000000001E-3</v>
      </c>
      <c r="N530" s="41">
        <v>0</v>
      </c>
      <c r="O530" s="42">
        <f>SUM(G530:N530)</f>
        <v>210.67090000000002</v>
      </c>
      <c r="P530" s="42">
        <f>SUMPRODUCT(G530:N530,$G$2:$N$2)*1000/Assumptions!$C$15</f>
        <v>65.753031687976545</v>
      </c>
      <c r="Q530" s="43">
        <f>IF(ISNUMBER(Finder!$G$5),Finder!$D$8*Assumptions!$C$16*2*ASIN(SQRT(SIN(RADIANS(E530-Finder!$G$5)/2)^2+COS(RADIANS(Finder!$G$5))*COS(RADIANS(E530))*SIN(RADIANS(F530-Finder!$G$6)/2)^2)),"")</f>
        <v>249.17135661721574</v>
      </c>
      <c r="R530" s="39">
        <f>IF(ISNUMBER(Q530),IF(Q530&lt;=Finder!$D$7,1,0),0)</f>
        <v>0</v>
      </c>
      <c r="S530" s="39" t="str">
        <f>IF(R530=1,O530+ROW()*0.000000001,"")</f>
        <v/>
      </c>
      <c r="T530" s="39" t="str">
        <f>IF(O530&gt;0,INDEX(Calc!$B$4:$B$11,MATCH(MAX(G530:N530),G530:N530,0)),"-")</f>
        <v>Mustard Stalk</v>
      </c>
    </row>
    <row r="531" spans="1:20">
      <c r="A531" s="39">
        <v>528</v>
      </c>
      <c r="B531" s="39" t="s">
        <v>588</v>
      </c>
      <c r="C531" s="39" t="s">
        <v>610</v>
      </c>
      <c r="D531" s="39" t="str">
        <f>B531&amp;"|"&amp;C531</f>
        <v>Rajasthan|Jaisalmer</v>
      </c>
      <c r="E531" s="40">
        <v>26.92</v>
      </c>
      <c r="F531" s="40">
        <v>70.91</v>
      </c>
      <c r="G531" s="41">
        <v>0</v>
      </c>
      <c r="H531" s="41">
        <v>3.15</v>
      </c>
      <c r="I531" s="41">
        <v>0</v>
      </c>
      <c r="J531" s="41">
        <v>62.2986</v>
      </c>
      <c r="K531" s="41">
        <v>0</v>
      </c>
      <c r="L531" s="41">
        <v>0</v>
      </c>
      <c r="M531" s="41">
        <v>0</v>
      </c>
      <c r="N531" s="41">
        <v>0</v>
      </c>
      <c r="O531" s="42">
        <f>SUM(G531:N531)</f>
        <v>65.448599999999999</v>
      </c>
      <c r="P531" s="42">
        <f>SUMPRODUCT(G531:N531,$G$2:$N$2)*1000/Assumptions!$C$15</f>
        <v>19.481761312609969</v>
      </c>
      <c r="Q531" s="43">
        <f>IF(ISNUMBER(Finder!$G$5),Finder!$D$8*Assumptions!$C$16*2*ASIN(SQRT(SIN(RADIANS(E531-Finder!$G$5)/2)^2+COS(RADIANS(Finder!$G$5))*COS(RADIANS(E531))*SIN(RADIANS(F531-Finder!$G$6)/2)^2)),"")</f>
        <v>533.17298540746606</v>
      </c>
      <c r="R531" s="39">
        <f>IF(ISNUMBER(Q531),IF(Q531&lt;=Finder!$D$7,1,0),0)</f>
        <v>0</v>
      </c>
      <c r="S531" s="39" t="str">
        <f>IF(R531=1,O531+ROW()*0.000000001,"")</f>
        <v/>
      </c>
      <c r="T531" s="39" t="str">
        <f>IF(O531&gt;0,INDEX(Calc!$B$4:$B$11,MATCH(MAX(G531:N531),G531:N531,0)),"-")</f>
        <v>Mustard Stalk</v>
      </c>
    </row>
    <row r="532" spans="1:20">
      <c r="A532" s="39">
        <v>529</v>
      </c>
      <c r="B532" s="39" t="s">
        <v>588</v>
      </c>
      <c r="C532" s="39" t="s">
        <v>611</v>
      </c>
      <c r="D532" s="39" t="str">
        <f>B532&amp;"|"&amp;C532</f>
        <v>Rajasthan|Jalore</v>
      </c>
      <c r="E532" s="40">
        <v>25.35</v>
      </c>
      <c r="F532" s="40">
        <v>72.62</v>
      </c>
      <c r="G532" s="41">
        <v>0</v>
      </c>
      <c r="H532" s="41">
        <v>20.25</v>
      </c>
      <c r="I532" s="41">
        <v>3.7000000000000002E-3</v>
      </c>
      <c r="J532" s="41">
        <v>104.42449999999999</v>
      </c>
      <c r="K532" s="41">
        <v>0</v>
      </c>
      <c r="L532" s="41">
        <v>0</v>
      </c>
      <c r="M532" s="41">
        <v>0</v>
      </c>
      <c r="N532" s="41">
        <v>0</v>
      </c>
      <c r="O532" s="42">
        <f>SUM(G532:N532)</f>
        <v>124.67819999999999</v>
      </c>
      <c r="P532" s="42">
        <f>SUMPRODUCT(G532:N532,$G$2:$N$2)*1000/Assumptions!$C$15</f>
        <v>38.143601352492666</v>
      </c>
      <c r="Q532" s="43">
        <f>IF(ISNUMBER(Finder!$G$5),Finder!$D$8*Assumptions!$C$16*2*ASIN(SQRT(SIN(RADIANS(E532-Finder!$G$5)/2)^2+COS(RADIANS(Finder!$G$5))*COS(RADIANS(E532))*SIN(RADIANS(F532-Finder!$G$6)/2)^2)),"")</f>
        <v>521.90459408898437</v>
      </c>
      <c r="R532" s="39">
        <f>IF(ISNUMBER(Q532),IF(Q532&lt;=Finder!$D$7,1,0),0)</f>
        <v>0</v>
      </c>
      <c r="S532" s="39" t="str">
        <f>IF(R532=1,O532+ROW()*0.000000001,"")</f>
        <v/>
      </c>
      <c r="T532" s="39" t="str">
        <f>IF(O532&gt;0,INDEX(Calc!$B$4:$B$11,MATCH(MAX(G532:N532),G532:N532,0)),"-")</f>
        <v>Mustard Stalk</v>
      </c>
    </row>
    <row r="533" spans="1:20">
      <c r="A533" s="39">
        <v>530</v>
      </c>
      <c r="B533" s="39" t="s">
        <v>588</v>
      </c>
      <c r="C533" s="39" t="s">
        <v>612</v>
      </c>
      <c r="D533" s="39" t="str">
        <f>B533&amp;"|"&amp;C533</f>
        <v>Rajasthan|Jhalawar</v>
      </c>
      <c r="E533" s="40">
        <v>24.6</v>
      </c>
      <c r="F533" s="40">
        <v>76.16</v>
      </c>
      <c r="G533" s="41">
        <v>4.62</v>
      </c>
      <c r="H533" s="41">
        <v>71.55</v>
      </c>
      <c r="I533" s="41">
        <v>51.747100000000003</v>
      </c>
      <c r="J533" s="41">
        <v>69.0398</v>
      </c>
      <c r="K533" s="41">
        <v>3.2000000000000001E-2</v>
      </c>
      <c r="L533" s="41">
        <v>3.7000000000000002E-3</v>
      </c>
      <c r="M533" s="41">
        <v>219.1962</v>
      </c>
      <c r="N533" s="41">
        <v>0</v>
      </c>
      <c r="O533" s="42">
        <f>SUM(G533:N533)</f>
        <v>416.18880000000001</v>
      </c>
      <c r="P533" s="42">
        <f>SUMPRODUCT(G533:N533,$G$2:$N$2)*1000/Assumptions!$C$15</f>
        <v>132.68390957859239</v>
      </c>
      <c r="Q533" s="43">
        <f>IF(ISNUMBER(Finder!$G$5),Finder!$D$8*Assumptions!$C$16*2*ASIN(SQRT(SIN(RADIANS(E533-Finder!$G$5)/2)^2+COS(RADIANS(Finder!$G$5))*COS(RADIANS(E533))*SIN(RADIANS(F533-Finder!$G$6)/2)^2)),"")</f>
        <v>507.81391483796466</v>
      </c>
      <c r="R533" s="39">
        <f>IF(ISNUMBER(Q533),IF(Q533&lt;=Finder!$D$7,1,0),0)</f>
        <v>0</v>
      </c>
      <c r="S533" s="39" t="str">
        <f>IF(R533=1,O533+ROW()*0.000000001,"")</f>
        <v/>
      </c>
      <c r="T533" s="39" t="str">
        <f>IF(O533&gt;0,INDEX(Calc!$B$4:$B$11,MATCH(MAX(G533:N533),G533:N533,0)),"-")</f>
        <v>Soya Trash</v>
      </c>
    </row>
    <row r="534" spans="1:20">
      <c r="A534" s="39">
        <v>531</v>
      </c>
      <c r="B534" s="39" t="s">
        <v>588</v>
      </c>
      <c r="C534" s="39" t="s">
        <v>613</v>
      </c>
      <c r="D534" s="39" t="str">
        <f>B534&amp;"|"&amp;C534</f>
        <v>Rajasthan|Jhunjhunu</v>
      </c>
      <c r="E534" s="40">
        <v>28.13</v>
      </c>
      <c r="F534" s="40">
        <v>75.400000000000006</v>
      </c>
      <c r="G534" s="41">
        <v>0</v>
      </c>
      <c r="H534" s="41">
        <v>28.35</v>
      </c>
      <c r="I534" s="41">
        <v>3.7000000000000002E-3</v>
      </c>
      <c r="J534" s="41">
        <v>95.975700000000003</v>
      </c>
      <c r="K534" s="41">
        <v>0</v>
      </c>
      <c r="L534" s="41">
        <v>0</v>
      </c>
      <c r="M534" s="41">
        <v>0</v>
      </c>
      <c r="N534" s="41">
        <v>0</v>
      </c>
      <c r="O534" s="42">
        <f>SUM(G534:N534)</f>
        <v>124.32940000000001</v>
      </c>
      <c r="P534" s="42">
        <f>SUMPRODUCT(G534:N534,$G$2:$N$2)*1000/Assumptions!$C$15</f>
        <v>38.627207449853373</v>
      </c>
      <c r="Q534" s="43">
        <f>IF(ISNUMBER(Finder!$G$5),Finder!$D$8*Assumptions!$C$16*2*ASIN(SQRT(SIN(RADIANS(E534-Finder!$G$5)/2)^2+COS(RADIANS(Finder!$G$5))*COS(RADIANS(E534))*SIN(RADIANS(F534-Finder!$G$6)/2)^2)),"")</f>
        <v>117.63936347417584</v>
      </c>
      <c r="R534" s="39">
        <f>IF(ISNUMBER(Q534),IF(Q534&lt;=Finder!$D$7,1,0),0)</f>
        <v>0</v>
      </c>
      <c r="S534" s="39" t="str">
        <f>IF(R534=1,O534+ROW()*0.000000001,"")</f>
        <v/>
      </c>
      <c r="T534" s="39" t="str">
        <f>IF(O534&gt;0,INDEX(Calc!$B$4:$B$11,MATCH(MAX(G534:N534),G534:N534,0)),"-")</f>
        <v>Mustard Stalk</v>
      </c>
    </row>
    <row r="535" spans="1:20">
      <c r="A535" s="39">
        <v>532</v>
      </c>
      <c r="B535" s="39" t="s">
        <v>588</v>
      </c>
      <c r="C535" s="39" t="s">
        <v>614</v>
      </c>
      <c r="D535" s="39" t="str">
        <f>B535&amp;"|"&amp;C535</f>
        <v>Rajasthan|Jodhpur</v>
      </c>
      <c r="E535" s="40">
        <v>26.24</v>
      </c>
      <c r="F535" s="40">
        <v>73.02</v>
      </c>
      <c r="G535" s="41">
        <v>0</v>
      </c>
      <c r="H535" s="41">
        <v>21.15</v>
      </c>
      <c r="I535" s="41">
        <v>3.7000000000000002E-3</v>
      </c>
      <c r="J535" s="41">
        <v>173.04900000000001</v>
      </c>
      <c r="K535" s="41">
        <v>0</v>
      </c>
      <c r="L535" s="41">
        <v>0</v>
      </c>
      <c r="M535" s="41">
        <v>0</v>
      </c>
      <c r="N535" s="41">
        <v>0</v>
      </c>
      <c r="O535" s="42">
        <f>SUM(G535:N535)</f>
        <v>194.20269999999999</v>
      </c>
      <c r="P535" s="42">
        <f>SUMPRODUCT(G535:N535,$G$2:$N$2)*1000/Assumptions!$C$15</f>
        <v>58.661580361290319</v>
      </c>
      <c r="Q535" s="43">
        <f>IF(ISNUMBER(Finder!$G$5),Finder!$D$8*Assumptions!$C$16*2*ASIN(SQRT(SIN(RADIANS(E535-Finder!$G$5)/2)^2+COS(RADIANS(Finder!$G$5))*COS(RADIANS(E535))*SIN(RADIANS(F535-Finder!$G$6)/2)^2)),"")</f>
        <v>418.73330040105117</v>
      </c>
      <c r="R535" s="39">
        <f>IF(ISNUMBER(Q535),IF(Q535&lt;=Finder!$D$7,1,0),0)</f>
        <v>0</v>
      </c>
      <c r="S535" s="39" t="str">
        <f>IF(R535=1,O535+ROW()*0.000000001,"")</f>
        <v/>
      </c>
      <c r="T535" s="39" t="str">
        <f>IF(O535&gt;0,INDEX(Calc!$B$4:$B$11,MATCH(MAX(G535:N535),G535:N535,0)),"-")</f>
        <v>Mustard Stalk</v>
      </c>
    </row>
    <row r="536" spans="1:20">
      <c r="A536" s="39">
        <v>533</v>
      </c>
      <c r="B536" s="39" t="s">
        <v>588</v>
      </c>
      <c r="C536" s="39" t="s">
        <v>615</v>
      </c>
      <c r="D536" s="39" t="str">
        <f>B536&amp;"|"&amp;C536</f>
        <v>Rajasthan|Karauli</v>
      </c>
      <c r="E536" s="40">
        <v>26.5</v>
      </c>
      <c r="F536" s="40">
        <v>77.02</v>
      </c>
      <c r="G536" s="41">
        <v>0.42</v>
      </c>
      <c r="H536" s="41">
        <v>31.95</v>
      </c>
      <c r="I536" s="41">
        <v>2.0999999999999999E-3</v>
      </c>
      <c r="J536" s="41">
        <v>142.9342</v>
      </c>
      <c r="K536" s="41">
        <v>0.20699999999999999</v>
      </c>
      <c r="L536" s="41">
        <v>2.4199999999999999E-2</v>
      </c>
      <c r="M536" s="41">
        <v>1.4E-2</v>
      </c>
      <c r="N536" s="41">
        <v>0</v>
      </c>
      <c r="O536" s="42">
        <f>SUM(G536:N536)</f>
        <v>175.5515</v>
      </c>
      <c r="P536" s="42">
        <f>SUMPRODUCT(G536:N536,$G$2:$N$2)*1000/Assumptions!$C$15</f>
        <v>53.986640625806459</v>
      </c>
      <c r="Q536" s="43">
        <f>IF(ISNUMBER(Finder!$G$5),Finder!$D$8*Assumptions!$C$16*2*ASIN(SQRT(SIN(RADIANS(E536-Finder!$G$5)/2)^2+COS(RADIANS(Finder!$G$5))*COS(RADIANS(E536))*SIN(RADIANS(F536-Finder!$G$6)/2)^2)),"")</f>
        <v>321.19446212227928</v>
      </c>
      <c r="R536" s="39">
        <f>IF(ISNUMBER(Q536),IF(Q536&lt;=Finder!$D$7,1,0),0)</f>
        <v>0</v>
      </c>
      <c r="S536" s="39" t="str">
        <f>IF(R536=1,O536+ROW()*0.000000001,"")</f>
        <v/>
      </c>
      <c r="T536" s="39" t="str">
        <f>IF(O536&gt;0,INDEX(Calc!$B$4:$B$11,MATCH(MAX(G536:N536),G536:N536,0)),"-")</f>
        <v>Mustard Stalk</v>
      </c>
    </row>
    <row r="537" spans="1:20">
      <c r="A537" s="39">
        <v>534</v>
      </c>
      <c r="B537" s="39" t="s">
        <v>588</v>
      </c>
      <c r="C537" s="39" t="s">
        <v>616</v>
      </c>
      <c r="D537" s="39" t="str">
        <f>B537&amp;"|"&amp;C537</f>
        <v>Rajasthan|Khairthal-Tijara</v>
      </c>
      <c r="E537" s="40">
        <v>27.8</v>
      </c>
      <c r="F537" s="40">
        <v>76.64</v>
      </c>
      <c r="G537" s="41">
        <v>0</v>
      </c>
      <c r="H537" s="41">
        <v>18</v>
      </c>
      <c r="I537" s="41">
        <v>1.1471</v>
      </c>
      <c r="J537" s="41">
        <v>0</v>
      </c>
      <c r="K537" s="41">
        <v>9.6500000000000002E-2</v>
      </c>
      <c r="L537" s="41">
        <v>1.1299999999999999E-2</v>
      </c>
      <c r="M537" s="41">
        <v>0</v>
      </c>
      <c r="N537" s="41">
        <v>0</v>
      </c>
      <c r="O537" s="42">
        <f>SUM(G537:N537)</f>
        <v>19.254899999999999</v>
      </c>
      <c r="P537" s="42">
        <f>SUMPRODUCT(G537:N537,$G$2:$N$2)*1000/Assumptions!$C$15</f>
        <v>6.9669476759530786</v>
      </c>
      <c r="Q537" s="43">
        <f>IF(ISNUMBER(Finder!$G$5),Finder!$D$8*Assumptions!$C$16*2*ASIN(SQRT(SIN(RADIANS(E537-Finder!$G$5)/2)^2+COS(RADIANS(Finder!$G$5))*COS(RADIANS(E537))*SIN(RADIANS(F537-Finder!$G$6)/2)^2)),"")</f>
        <v>174.98424237909333</v>
      </c>
      <c r="R537" s="39">
        <f>IF(ISNUMBER(Q537),IF(Q537&lt;=Finder!$D$7,1,0),0)</f>
        <v>0</v>
      </c>
      <c r="S537" s="39" t="str">
        <f>IF(R537=1,O537+ROW()*0.000000001,"")</f>
        <v/>
      </c>
      <c r="T537" s="39" t="str">
        <f>IF(O537&gt;0,INDEX(Calc!$B$4:$B$11,MATCH(MAX(G537:N537),G537:N537,0)),"-")</f>
        <v>Wheat Straw</v>
      </c>
    </row>
    <row r="538" spans="1:20">
      <c r="A538" s="39">
        <v>535</v>
      </c>
      <c r="B538" s="39" t="s">
        <v>588</v>
      </c>
      <c r="C538" s="39" t="s">
        <v>617</v>
      </c>
      <c r="D538" s="39" t="str">
        <f>B538&amp;"|"&amp;C538</f>
        <v>Rajasthan|Kota</v>
      </c>
      <c r="E538" s="40">
        <v>25.18</v>
      </c>
      <c r="F538" s="40">
        <v>75.83</v>
      </c>
      <c r="G538" s="41">
        <v>22.68</v>
      </c>
      <c r="H538" s="41">
        <v>58.95</v>
      </c>
      <c r="I538" s="41">
        <v>2.8338999999999999</v>
      </c>
      <c r="J538" s="41">
        <v>96.1999</v>
      </c>
      <c r="K538" s="41">
        <v>9.6500000000000002E-2</v>
      </c>
      <c r="L538" s="41">
        <v>1.1299999999999999E-2</v>
      </c>
      <c r="M538" s="41">
        <v>185.7328</v>
      </c>
      <c r="N538" s="41">
        <v>0</v>
      </c>
      <c r="O538" s="42">
        <f>SUM(G538:N538)</f>
        <v>366.50439999999998</v>
      </c>
      <c r="P538" s="42">
        <f>SUMPRODUCT(G538:N538,$G$2:$N$2)*1000/Assumptions!$C$15</f>
        <v>117.73963061554254</v>
      </c>
      <c r="Q538" s="43">
        <f>IF(ISNUMBER(Finder!$G$5),Finder!$D$8*Assumptions!$C$16*2*ASIN(SQRT(SIN(RADIANS(E538-Finder!$G$5)/2)^2+COS(RADIANS(Finder!$G$5))*COS(RADIANS(E538))*SIN(RADIANS(F538-Finder!$G$6)/2)^2)),"")</f>
        <v>441.57787439750393</v>
      </c>
      <c r="R538" s="39">
        <f>IF(ISNUMBER(Q538),IF(Q538&lt;=Finder!$D$7,1,0),0)</f>
        <v>0</v>
      </c>
      <c r="S538" s="39" t="str">
        <f>IF(R538=1,O538+ROW()*0.000000001,"")</f>
        <v/>
      </c>
      <c r="T538" s="39" t="str">
        <f>IF(O538&gt;0,INDEX(Calc!$B$4:$B$11,MATCH(MAX(G538:N538),G538:N538,0)),"-")</f>
        <v>Soya Trash</v>
      </c>
    </row>
    <row r="539" spans="1:20">
      <c r="A539" s="39">
        <v>536</v>
      </c>
      <c r="B539" s="39" t="s">
        <v>588</v>
      </c>
      <c r="C539" s="39" t="s">
        <v>618</v>
      </c>
      <c r="D539" s="39" t="str">
        <f>B539&amp;"|"&amp;C539</f>
        <v>Rajasthan|Kotputli-Behror</v>
      </c>
      <c r="E539" s="40">
        <v>27.7</v>
      </c>
      <c r="F539" s="40">
        <v>76.2</v>
      </c>
      <c r="G539" s="41">
        <v>0</v>
      </c>
      <c r="H539" s="41">
        <v>18.45</v>
      </c>
      <c r="I539" s="41">
        <v>1.0689</v>
      </c>
      <c r="J539" s="41">
        <v>0</v>
      </c>
      <c r="K539" s="41">
        <v>0.21560000000000001</v>
      </c>
      <c r="L539" s="41">
        <v>2.52E-2</v>
      </c>
      <c r="M539" s="41">
        <v>3.5000000000000001E-3</v>
      </c>
      <c r="N539" s="41">
        <v>0</v>
      </c>
      <c r="O539" s="42">
        <f>SUM(G539:N539)</f>
        <v>19.763199999999998</v>
      </c>
      <c r="P539" s="42">
        <f>SUMPRODUCT(G539:N539,$G$2:$N$2)*1000/Assumptions!$C$15</f>
        <v>7.1488877489736042</v>
      </c>
      <c r="Q539" s="43">
        <f>IF(ISNUMBER(Finder!$G$5),Finder!$D$8*Assumptions!$C$16*2*ASIN(SQRT(SIN(RADIANS(E539-Finder!$G$5)/2)^2+COS(RADIANS(Finder!$G$5))*COS(RADIANS(E539))*SIN(RADIANS(F539-Finder!$G$6)/2)^2)),"")</f>
        <v>167.92558394793463</v>
      </c>
      <c r="R539" s="39">
        <f>IF(ISNUMBER(Q539),IF(Q539&lt;=Finder!$D$7,1,0),0)</f>
        <v>0</v>
      </c>
      <c r="S539" s="39" t="str">
        <f>IF(R539=1,O539+ROW()*0.000000001,"")</f>
        <v/>
      </c>
      <c r="T539" s="39" t="str">
        <f>IF(O539&gt;0,INDEX(Calc!$B$4:$B$11,MATCH(MAX(G539:N539),G539:N539,0)),"-")</f>
        <v>Wheat Straw</v>
      </c>
    </row>
    <row r="540" spans="1:20">
      <c r="A540" s="39">
        <v>537</v>
      </c>
      <c r="B540" s="39" t="s">
        <v>588</v>
      </c>
      <c r="C540" s="39" t="s">
        <v>619</v>
      </c>
      <c r="D540" s="39" t="str">
        <f>B540&amp;"|"&amp;C540</f>
        <v>Rajasthan|Nagaur</v>
      </c>
      <c r="E540" s="40">
        <v>27.2</v>
      </c>
      <c r="F540" s="40">
        <v>73.73</v>
      </c>
      <c r="G540" s="41">
        <v>0</v>
      </c>
      <c r="H540" s="41">
        <v>12.15</v>
      </c>
      <c r="I540" s="41">
        <v>3.2500000000000001E-2</v>
      </c>
      <c r="J540" s="41">
        <v>82.392300000000006</v>
      </c>
      <c r="K540" s="41">
        <v>4.82E-2</v>
      </c>
      <c r="L540" s="41">
        <v>5.5999999999999999E-3</v>
      </c>
      <c r="M540" s="41">
        <v>7.0000000000000001E-3</v>
      </c>
      <c r="N540" s="41">
        <v>0</v>
      </c>
      <c r="O540" s="42">
        <f>SUM(G540:N540)</f>
        <v>94.635600000000011</v>
      </c>
      <c r="P540" s="42">
        <f>SUMPRODUCT(G540:N540,$G$2:$N$2)*1000/Assumptions!$C$15</f>
        <v>28.719458229912028</v>
      </c>
      <c r="Q540" s="43">
        <f>IF(ISNUMBER(Finder!$G$5),Finder!$D$8*Assumptions!$C$16*2*ASIN(SQRT(SIN(RADIANS(E540-Finder!$G$5)/2)^2+COS(RADIANS(Finder!$G$5))*COS(RADIANS(E540))*SIN(RADIANS(F540-Finder!$G$6)/2)^2)),"")</f>
        <v>291.64269370938717</v>
      </c>
      <c r="R540" s="39">
        <f>IF(ISNUMBER(Q540),IF(Q540&lt;=Finder!$D$7,1,0),0)</f>
        <v>0</v>
      </c>
      <c r="S540" s="39" t="str">
        <f>IF(R540=1,O540+ROW()*0.000000001,"")</f>
        <v/>
      </c>
      <c r="T540" s="39" t="str">
        <f>IF(O540&gt;0,INDEX(Calc!$B$4:$B$11,MATCH(MAX(G540:N540),G540:N540,0)),"-")</f>
        <v>Mustard Stalk</v>
      </c>
    </row>
    <row r="541" spans="1:20">
      <c r="A541" s="39">
        <v>538</v>
      </c>
      <c r="B541" s="39" t="s">
        <v>588</v>
      </c>
      <c r="C541" s="39" t="s">
        <v>620</v>
      </c>
      <c r="D541" s="39" t="str">
        <f>B541&amp;"|"&amp;C541</f>
        <v>Rajasthan|Pali</v>
      </c>
      <c r="E541" s="40">
        <v>25.77</v>
      </c>
      <c r="F541" s="40">
        <v>73.319999999999993</v>
      </c>
      <c r="G541" s="41">
        <v>0</v>
      </c>
      <c r="H541" s="41">
        <v>35.549999999999997</v>
      </c>
      <c r="I541" s="41">
        <v>7.1688999999999998</v>
      </c>
      <c r="J541" s="41">
        <v>72.012200000000007</v>
      </c>
      <c r="K541" s="41">
        <v>0</v>
      </c>
      <c r="L541" s="41">
        <v>0</v>
      </c>
      <c r="M541" s="41">
        <v>7.9000000000000008E-3</v>
      </c>
      <c r="N541" s="41">
        <v>0</v>
      </c>
      <c r="O541" s="42">
        <f>SUM(G541:N541)</f>
        <v>114.739</v>
      </c>
      <c r="P541" s="42">
        <f>SUMPRODUCT(G541:N541,$G$2:$N$2)*1000/Assumptions!$C$15</f>
        <v>36.327138361290324</v>
      </c>
      <c r="Q541" s="43">
        <f>IF(ISNUMBER(Finder!$G$5),Finder!$D$8*Assumptions!$C$16*2*ASIN(SQRT(SIN(RADIANS(E541-Finder!$G$5)/2)^2+COS(RADIANS(Finder!$G$5))*COS(RADIANS(E541))*SIN(RADIANS(F541-Finder!$G$6)/2)^2)),"")</f>
        <v>444.18260888065009</v>
      </c>
      <c r="R541" s="39">
        <f>IF(ISNUMBER(Q541),IF(Q541&lt;=Finder!$D$7,1,0),0)</f>
        <v>0</v>
      </c>
      <c r="S541" s="39" t="str">
        <f>IF(R541=1,O541+ROW()*0.000000001,"")</f>
        <v/>
      </c>
      <c r="T541" s="39" t="str">
        <f>IF(O541&gt;0,INDEX(Calc!$B$4:$B$11,MATCH(MAX(G541:N541),G541:N541,0)),"-")</f>
        <v>Mustard Stalk</v>
      </c>
    </row>
    <row r="542" spans="1:20">
      <c r="A542" s="39">
        <v>539</v>
      </c>
      <c r="B542" s="39" t="s">
        <v>588</v>
      </c>
      <c r="C542" s="39" t="s">
        <v>621</v>
      </c>
      <c r="D542" s="39" t="str">
        <f>B542&amp;"|"&amp;C542</f>
        <v>Rajasthan|Phalodi</v>
      </c>
      <c r="E542" s="40">
        <v>27.13</v>
      </c>
      <c r="F542" s="40">
        <v>72.36</v>
      </c>
      <c r="G542" s="41">
        <v>0</v>
      </c>
      <c r="H542" s="41">
        <v>11.25</v>
      </c>
      <c r="I542" s="41">
        <v>3.7000000000000002E-3</v>
      </c>
      <c r="J542" s="41">
        <v>0</v>
      </c>
      <c r="K542" s="41">
        <v>0</v>
      </c>
      <c r="L542" s="41">
        <v>0</v>
      </c>
      <c r="M542" s="41">
        <v>0</v>
      </c>
      <c r="N542" s="41">
        <v>0</v>
      </c>
      <c r="O542" s="42">
        <f>SUM(G542:N542)</f>
        <v>11.2537</v>
      </c>
      <c r="P542" s="42">
        <f>SUMPRODUCT(G542:N542,$G$2:$N$2)*1000/Assumptions!$C$15</f>
        <v>4.1248238099706738</v>
      </c>
      <c r="Q542" s="43">
        <f>IF(ISNUMBER(Finder!$G$5),Finder!$D$8*Assumptions!$C$16*2*ASIN(SQRT(SIN(RADIANS(E542-Finder!$G$5)/2)^2+COS(RADIANS(Finder!$G$5))*COS(RADIANS(E542))*SIN(RADIANS(F542-Finder!$G$6)/2)^2)),"")</f>
        <v>398.70127387678343</v>
      </c>
      <c r="R542" s="39">
        <f>IF(ISNUMBER(Q542),IF(Q542&lt;=Finder!$D$7,1,0),0)</f>
        <v>0</v>
      </c>
      <c r="S542" s="39" t="str">
        <f>IF(R542=1,O542+ROW()*0.000000001,"")</f>
        <v/>
      </c>
      <c r="T542" s="39" t="str">
        <f>IF(O542&gt;0,INDEX(Calc!$B$4:$B$11,MATCH(MAX(G542:N542),G542:N542,0)),"-")</f>
        <v>Wheat Straw</v>
      </c>
    </row>
    <row r="543" spans="1:20">
      <c r="A543" s="39">
        <v>540</v>
      </c>
      <c r="B543" s="39" t="s">
        <v>588</v>
      </c>
      <c r="C543" s="39" t="s">
        <v>622</v>
      </c>
      <c r="D543" s="39" t="str">
        <f>B543&amp;"|"&amp;C543</f>
        <v>Rajasthan|Pratapgarh</v>
      </c>
      <c r="E543" s="40">
        <v>24.03</v>
      </c>
      <c r="F543" s="40">
        <v>74.78</v>
      </c>
      <c r="G543" s="41">
        <v>61.74</v>
      </c>
      <c r="H543" s="41">
        <v>67.05</v>
      </c>
      <c r="I543" s="41">
        <v>51.093499999999999</v>
      </c>
      <c r="J543" s="41">
        <v>12.1777</v>
      </c>
      <c r="K543" s="41">
        <v>1.6E-2</v>
      </c>
      <c r="L543" s="41">
        <v>1.9E-3</v>
      </c>
      <c r="M543" s="41">
        <v>144.46510000000001</v>
      </c>
      <c r="N543" s="41">
        <v>0</v>
      </c>
      <c r="O543" s="42">
        <f>SUM(G543:N543)</f>
        <v>336.54419999999999</v>
      </c>
      <c r="P543" s="42">
        <f>SUMPRODUCT(G543:N543,$G$2:$N$2)*1000/Assumptions!$C$15</f>
        <v>111.44745595102638</v>
      </c>
      <c r="Q543" s="43">
        <f>IF(ISNUMBER(Finder!$G$5),Finder!$D$8*Assumptions!$C$16*2*ASIN(SQRT(SIN(RADIANS(E543-Finder!$G$5)/2)^2+COS(RADIANS(Finder!$G$5))*COS(RADIANS(E543))*SIN(RADIANS(F543-Finder!$G$6)/2)^2)),"")</f>
        <v>576.93072755926346</v>
      </c>
      <c r="R543" s="39">
        <f>IF(ISNUMBER(Q543),IF(Q543&lt;=Finder!$D$7,1,0),0)</f>
        <v>0</v>
      </c>
      <c r="S543" s="39" t="str">
        <f>IF(R543=1,O543+ROW()*0.000000001,"")</f>
        <v/>
      </c>
      <c r="T543" s="39" t="str">
        <f>IF(O543&gt;0,INDEX(Calc!$B$4:$B$11,MATCH(MAX(G543:N543),G543:N543,0)),"-")</f>
        <v>Soya Trash</v>
      </c>
    </row>
    <row r="544" spans="1:20">
      <c r="A544" s="39">
        <v>541</v>
      </c>
      <c r="B544" s="39" t="s">
        <v>588</v>
      </c>
      <c r="C544" s="39" t="s">
        <v>623</v>
      </c>
      <c r="D544" s="39" t="str">
        <f>B544&amp;"|"&amp;C544</f>
        <v>Rajasthan|Rajsamand</v>
      </c>
      <c r="E544" s="40">
        <v>25.07</v>
      </c>
      <c r="F544" s="40">
        <v>73.88</v>
      </c>
      <c r="G544" s="41">
        <v>0</v>
      </c>
      <c r="H544" s="41">
        <v>18.45</v>
      </c>
      <c r="I544" s="41">
        <v>73.377200000000002</v>
      </c>
      <c r="J544" s="41">
        <v>1.5012000000000001</v>
      </c>
      <c r="K544" s="41">
        <v>1.49</v>
      </c>
      <c r="L544" s="41">
        <v>0.17380000000000001</v>
      </c>
      <c r="M544" s="41">
        <v>0.32719999999999999</v>
      </c>
      <c r="N544" s="41">
        <v>0</v>
      </c>
      <c r="O544" s="42">
        <f>SUM(G544:N544)</f>
        <v>95.319400000000002</v>
      </c>
      <c r="P544" s="42">
        <f>SUMPRODUCT(G544:N544,$G$2:$N$2)*1000/Assumptions!$C$15</f>
        <v>29.380642916715541</v>
      </c>
      <c r="Q544" s="43">
        <f>IF(ISNUMBER(Finder!$G$5),Finder!$D$8*Assumptions!$C$16*2*ASIN(SQRT(SIN(RADIANS(E544-Finder!$G$5)/2)^2+COS(RADIANS(Finder!$G$5))*COS(RADIANS(E544))*SIN(RADIANS(F544-Finder!$G$6)/2)^2)),"")</f>
        <v>488.83879629000921</v>
      </c>
      <c r="R544" s="39">
        <f>IF(ISNUMBER(Q544),IF(Q544&lt;=Finder!$D$7,1,0),0)</f>
        <v>0</v>
      </c>
      <c r="S544" s="39" t="str">
        <f>IF(R544=1,O544+ROW()*0.000000001,"")</f>
        <v/>
      </c>
      <c r="T544" s="39" t="str">
        <f>IF(O544&gt;0,INDEX(Calc!$B$4:$B$11,MATCH(MAX(G544:N544),G544:N544,0)),"-")</f>
        <v>Maize Stover</v>
      </c>
    </row>
    <row r="545" spans="1:20">
      <c r="A545" s="39">
        <v>542</v>
      </c>
      <c r="B545" s="39" t="s">
        <v>588</v>
      </c>
      <c r="C545" s="39" t="s">
        <v>624</v>
      </c>
      <c r="D545" s="39" t="str">
        <f>B545&amp;"|"&amp;C545</f>
        <v>Rajasthan|Salumbar</v>
      </c>
      <c r="E545" s="40">
        <v>24.13</v>
      </c>
      <c r="F545" s="40">
        <v>74.05</v>
      </c>
      <c r="G545" s="41">
        <v>0</v>
      </c>
      <c r="H545" s="41">
        <v>16.2</v>
      </c>
      <c r="I545" s="41">
        <v>140.4323</v>
      </c>
      <c r="J545" s="41">
        <v>0</v>
      </c>
      <c r="K545" s="41">
        <v>2.2730000000000001</v>
      </c>
      <c r="L545" s="41">
        <v>0.26519999999999999</v>
      </c>
      <c r="M545" s="41">
        <v>38.118499999999997</v>
      </c>
      <c r="N545" s="41">
        <v>0</v>
      </c>
      <c r="O545" s="42">
        <f>SUM(G545:N545)</f>
        <v>197.28899999999999</v>
      </c>
      <c r="P545" s="42">
        <f>SUMPRODUCT(G545:N545,$G$2:$N$2)*1000/Assumptions!$C$15</f>
        <v>60.030412329618763</v>
      </c>
      <c r="Q545" s="43">
        <f>IF(ISNUMBER(Finder!$G$5),Finder!$D$8*Assumptions!$C$16*2*ASIN(SQRT(SIN(RADIANS(E545-Finder!$G$5)/2)^2+COS(RADIANS(Finder!$G$5))*COS(RADIANS(E545))*SIN(RADIANS(F545-Finder!$G$6)/2)^2)),"")</f>
        <v>582.32672172587183</v>
      </c>
      <c r="R545" s="39">
        <f>IF(ISNUMBER(Q545),IF(Q545&lt;=Finder!$D$7,1,0),0)</f>
        <v>0</v>
      </c>
      <c r="S545" s="39" t="str">
        <f>IF(R545=1,O545+ROW()*0.000000001,"")</f>
        <v/>
      </c>
      <c r="T545" s="39" t="str">
        <f>IF(O545&gt;0,INDEX(Calc!$B$4:$B$11,MATCH(MAX(G545:N545),G545:N545,0)),"-")</f>
        <v>Maize Stover</v>
      </c>
    </row>
    <row r="546" spans="1:20">
      <c r="A546" s="39">
        <v>543</v>
      </c>
      <c r="B546" s="39" t="s">
        <v>588</v>
      </c>
      <c r="C546" s="39" t="s">
        <v>625</v>
      </c>
      <c r="D546" s="39" t="str">
        <f>B546&amp;"|"&amp;C546</f>
        <v>Rajasthan|Sawai Madhopur</v>
      </c>
      <c r="E546" s="40">
        <v>26.02</v>
      </c>
      <c r="F546" s="40">
        <v>76.349999999999994</v>
      </c>
      <c r="G546" s="41">
        <v>3.36</v>
      </c>
      <c r="H546" s="41">
        <v>28.8</v>
      </c>
      <c r="I546" s="41">
        <v>0.2016</v>
      </c>
      <c r="J546" s="41">
        <v>180.99250000000001</v>
      </c>
      <c r="K546" s="41">
        <v>4.82E-2</v>
      </c>
      <c r="L546" s="41">
        <v>5.5999999999999999E-3</v>
      </c>
      <c r="M546" s="41">
        <v>2.1263000000000001</v>
      </c>
      <c r="N546" s="41">
        <v>0</v>
      </c>
      <c r="O546" s="42">
        <f>SUM(G546:N546)</f>
        <v>215.5342</v>
      </c>
      <c r="P546" s="42">
        <f>SUMPRODUCT(G546:N546,$G$2:$N$2)*1000/Assumptions!$C$15</f>
        <v>65.779592394134909</v>
      </c>
      <c r="Q546" s="43">
        <f>IF(ISNUMBER(Finder!$G$5),Finder!$D$8*Assumptions!$C$16*2*ASIN(SQRT(SIN(RADIANS(E546-Finder!$G$5)/2)^2+COS(RADIANS(Finder!$G$5))*COS(RADIANS(E546))*SIN(RADIANS(F546-Finder!$G$6)/2)^2)),"")</f>
        <v>353.53257840837102</v>
      </c>
      <c r="R546" s="39">
        <f>IF(ISNUMBER(Q546),IF(Q546&lt;=Finder!$D$7,1,0),0)</f>
        <v>0</v>
      </c>
      <c r="S546" s="39" t="str">
        <f>IF(R546=1,O546+ROW()*0.000000001,"")</f>
        <v/>
      </c>
      <c r="T546" s="39" t="str">
        <f>IF(O546&gt;0,INDEX(Calc!$B$4:$B$11,MATCH(MAX(G546:N546),G546:N546,0)),"-")</f>
        <v>Mustard Stalk</v>
      </c>
    </row>
    <row r="547" spans="1:20">
      <c r="A547" s="39">
        <v>544</v>
      </c>
      <c r="B547" s="39" t="s">
        <v>588</v>
      </c>
      <c r="C547" s="39" t="s">
        <v>626</v>
      </c>
      <c r="D547" s="39" t="str">
        <f>B547&amp;"|"&amp;C547</f>
        <v>Rajasthan|Sikar</v>
      </c>
      <c r="E547" s="40">
        <v>27.61</v>
      </c>
      <c r="F547" s="40">
        <v>75.14</v>
      </c>
      <c r="G547" s="41">
        <v>0</v>
      </c>
      <c r="H547" s="41">
        <v>37.35</v>
      </c>
      <c r="I547" s="41">
        <v>4.7000000000000002E-3</v>
      </c>
      <c r="J547" s="41">
        <v>42.1571</v>
      </c>
      <c r="K547" s="41">
        <v>9.6500000000000002E-2</v>
      </c>
      <c r="L547" s="41">
        <v>1.1299999999999999E-2</v>
      </c>
      <c r="M547" s="41">
        <v>8.9999999999999998E-4</v>
      </c>
      <c r="N547" s="41">
        <v>0</v>
      </c>
      <c r="O547" s="42">
        <f>SUM(G547:N547)</f>
        <v>79.620500000000007</v>
      </c>
      <c r="P547" s="42">
        <f>SUMPRODUCT(G547:N547,$G$2:$N$2)*1000/Assumptions!$C$15</f>
        <v>26.125835684164223</v>
      </c>
      <c r="Q547" s="43">
        <f>IF(ISNUMBER(Finder!$G$5),Finder!$D$8*Assumptions!$C$16*2*ASIN(SQRT(SIN(RADIANS(E547-Finder!$G$5)/2)^2+COS(RADIANS(Finder!$G$5))*COS(RADIANS(E547))*SIN(RADIANS(F547-Finder!$G$6)/2)^2)),"")</f>
        <v>180.39533943349613</v>
      </c>
      <c r="R547" s="39">
        <f>IF(ISNUMBER(Q547),IF(Q547&lt;=Finder!$D$7,1,0),0)</f>
        <v>0</v>
      </c>
      <c r="S547" s="39" t="str">
        <f>IF(R547=1,O547+ROW()*0.000000001,"")</f>
        <v/>
      </c>
      <c r="T547" s="39" t="str">
        <f>IF(O547&gt;0,INDEX(Calc!$B$4:$B$11,MATCH(MAX(G547:N547),G547:N547,0)),"-")</f>
        <v>Mustard Stalk</v>
      </c>
    </row>
    <row r="548" spans="1:20">
      <c r="A548" s="39">
        <v>545</v>
      </c>
      <c r="B548" s="39" t="s">
        <v>588</v>
      </c>
      <c r="C548" s="39" t="s">
        <v>627</v>
      </c>
      <c r="D548" s="39" t="str">
        <f>B548&amp;"|"&amp;C548</f>
        <v>Rajasthan|Sirohi</v>
      </c>
      <c r="E548" s="40">
        <v>24.89</v>
      </c>
      <c r="F548" s="40">
        <v>72.86</v>
      </c>
      <c r="G548" s="41">
        <v>0</v>
      </c>
      <c r="H548" s="41">
        <v>16.2</v>
      </c>
      <c r="I548" s="41">
        <v>19.2502</v>
      </c>
      <c r="J548" s="41">
        <v>25.944299999999998</v>
      </c>
      <c r="K548" s="41">
        <v>1.6E-2</v>
      </c>
      <c r="L548" s="41">
        <v>1.9E-3</v>
      </c>
      <c r="M548" s="41">
        <v>0</v>
      </c>
      <c r="N548" s="41">
        <v>0</v>
      </c>
      <c r="O548" s="42">
        <f>SUM(G548:N548)</f>
        <v>61.412399999999991</v>
      </c>
      <c r="P548" s="42">
        <f>SUMPRODUCT(G548:N548,$G$2:$N$2)*1000/Assumptions!$C$15</f>
        <v>19.238807518181819</v>
      </c>
      <c r="Q548" s="43">
        <f>IF(ISNUMBER(Finder!$G$5),Finder!$D$8*Assumptions!$C$16*2*ASIN(SQRT(SIN(RADIANS(E548-Finder!$G$5)/2)^2+COS(RADIANS(Finder!$G$5))*COS(RADIANS(E548))*SIN(RADIANS(F548-Finder!$G$6)/2)^2)),"")</f>
        <v>551.88328738851408</v>
      </c>
      <c r="R548" s="39">
        <f>IF(ISNUMBER(Q548),IF(Q548&lt;=Finder!$D$7,1,0),0)</f>
        <v>0</v>
      </c>
      <c r="S548" s="39" t="str">
        <f>IF(R548=1,O548+ROW()*0.000000001,"")</f>
        <v/>
      </c>
      <c r="T548" s="39" t="str">
        <f>IF(O548&gt;0,INDEX(Calc!$B$4:$B$11,MATCH(MAX(G548:N548),G548:N548,0)),"-")</f>
        <v>Mustard Stalk</v>
      </c>
    </row>
    <row r="549" spans="1:20">
      <c r="A549" s="39">
        <v>546</v>
      </c>
      <c r="B549" s="39" t="s">
        <v>588</v>
      </c>
      <c r="C549" s="39" t="s">
        <v>628</v>
      </c>
      <c r="D549" s="39" t="str">
        <f>B549&amp;"|"&amp;C549</f>
        <v>Rajasthan|Tonk</v>
      </c>
      <c r="E549" s="40">
        <v>26.17</v>
      </c>
      <c r="F549" s="40">
        <v>75.790000000000006</v>
      </c>
      <c r="G549" s="41">
        <v>0</v>
      </c>
      <c r="H549" s="41">
        <v>22.95</v>
      </c>
      <c r="I549" s="41">
        <v>3.8502999999999998</v>
      </c>
      <c r="J549" s="41">
        <v>418.25599999999997</v>
      </c>
      <c r="K549" s="41">
        <v>0.1903</v>
      </c>
      <c r="L549" s="41">
        <v>2.2200000000000001E-2</v>
      </c>
      <c r="M549" s="41">
        <v>0.2581</v>
      </c>
      <c r="N549" s="41">
        <v>0</v>
      </c>
      <c r="O549" s="42">
        <f>SUM(G549:N549)</f>
        <v>445.52689999999996</v>
      </c>
      <c r="P549" s="42">
        <f>SUMPRODUCT(G549:N549,$G$2:$N$2)*1000/Assumptions!$C$15</f>
        <v>132.73206261290321</v>
      </c>
      <c r="Q549" s="43">
        <f>IF(ISNUMBER(Finder!$G$5),Finder!$D$8*Assumptions!$C$16*2*ASIN(SQRT(SIN(RADIANS(E549-Finder!$G$5)/2)^2+COS(RADIANS(Finder!$G$5))*COS(RADIANS(E549))*SIN(RADIANS(F549-Finder!$G$6)/2)^2)),"")</f>
        <v>331.43256173823119</v>
      </c>
      <c r="R549" s="39">
        <f>IF(ISNUMBER(Q549),IF(Q549&lt;=Finder!$D$7,1,0),0)</f>
        <v>0</v>
      </c>
      <c r="S549" s="39" t="str">
        <f>IF(R549=1,O549+ROW()*0.000000001,"")</f>
        <v/>
      </c>
      <c r="T549" s="39" t="str">
        <f>IF(O549&gt;0,INDEX(Calc!$B$4:$B$11,MATCH(MAX(G549:N549),G549:N549,0)),"-")</f>
        <v>Mustard Stalk</v>
      </c>
    </row>
    <row r="550" spans="1:20">
      <c r="A550" s="39">
        <v>547</v>
      </c>
      <c r="B550" s="39" t="s">
        <v>588</v>
      </c>
      <c r="C550" s="39" t="s">
        <v>629</v>
      </c>
      <c r="D550" s="39" t="str">
        <f>B550&amp;"|"&amp;C550</f>
        <v>Rajasthan|Udaipur</v>
      </c>
      <c r="E550" s="40">
        <v>24.59</v>
      </c>
      <c r="F550" s="40">
        <v>73.709999999999994</v>
      </c>
      <c r="G550" s="41">
        <v>1.68</v>
      </c>
      <c r="H550" s="41">
        <v>35.1</v>
      </c>
      <c r="I550" s="41">
        <v>140.4323</v>
      </c>
      <c r="J550" s="41">
        <v>8.6184999999999992</v>
      </c>
      <c r="K550" s="41">
        <v>2.2730000000000001</v>
      </c>
      <c r="L550" s="41">
        <v>0.26519999999999999</v>
      </c>
      <c r="M550" s="41">
        <v>38.118499999999997</v>
      </c>
      <c r="N550" s="41">
        <v>0</v>
      </c>
      <c r="O550" s="42">
        <f>SUM(G550:N550)</f>
        <v>226.48750000000001</v>
      </c>
      <c r="P550" s="42">
        <f>SUMPRODUCT(G550:N550,$G$2:$N$2)*1000/Assumptions!$C$15</f>
        <v>70.109504839882703</v>
      </c>
      <c r="Q550" s="43">
        <f>IF(ISNUMBER(Finder!$G$5),Finder!$D$8*Assumptions!$C$16*2*ASIN(SQRT(SIN(RADIANS(E550-Finder!$G$5)/2)^2+COS(RADIANS(Finder!$G$5))*COS(RADIANS(E550))*SIN(RADIANS(F550-Finder!$G$6)/2)^2)),"")</f>
        <v>544.80223291304651</v>
      </c>
      <c r="R550" s="39">
        <f>IF(ISNUMBER(Q550),IF(Q550&lt;=Finder!$D$7,1,0),0)</f>
        <v>0</v>
      </c>
      <c r="S550" s="39" t="str">
        <f>IF(R550=1,O550+ROW()*0.000000001,"")</f>
        <v/>
      </c>
      <c r="T550" s="39" t="str">
        <f>IF(O550&gt;0,INDEX(Calc!$B$4:$B$11,MATCH(MAX(G550:N550),G550:N550,0)),"-")</f>
        <v>Maize Stover</v>
      </c>
    </row>
    <row r="551" spans="1:20">
      <c r="A551" s="39">
        <v>548</v>
      </c>
      <c r="B551" s="39" t="s">
        <v>630</v>
      </c>
      <c r="C551" s="39" t="s">
        <v>631</v>
      </c>
      <c r="D551" s="39" t="str">
        <f>B551&amp;"|"&amp;C551</f>
        <v>Sikkim|Gangtok</v>
      </c>
      <c r="E551" s="40">
        <v>27.33</v>
      </c>
      <c r="F551" s="40">
        <v>88.61</v>
      </c>
      <c r="G551" s="41">
        <v>0.84</v>
      </c>
      <c r="H551" s="41">
        <v>0</v>
      </c>
      <c r="I551" s="41">
        <v>3.0832999999999999</v>
      </c>
      <c r="J551" s="41">
        <v>0.32100000000000001</v>
      </c>
      <c r="K551" s="41">
        <v>0</v>
      </c>
      <c r="L551" s="41">
        <v>0</v>
      </c>
      <c r="M551" s="41">
        <v>0.26250000000000001</v>
      </c>
      <c r="N551" s="41">
        <v>0</v>
      </c>
      <c r="O551" s="42">
        <f>SUM(G551:N551)</f>
        <v>4.5068000000000001</v>
      </c>
      <c r="P551" s="42">
        <f>SUMPRODUCT(G551:N551,$G$2:$N$2)*1000/Assumptions!$C$15</f>
        <v>1.3922833102639296</v>
      </c>
      <c r="Q551" s="43">
        <f>IF(ISNUMBER(Finder!$G$5),Finder!$D$8*Assumptions!$C$16*2*ASIN(SQRT(SIN(RADIANS(E551-Finder!$G$5)/2)^2+COS(RADIANS(Finder!$G$5))*COS(RADIANS(E551))*SIN(RADIANS(F551-Finder!$G$6)/2)^2)),"")</f>
        <v>1278.1271544363733</v>
      </c>
      <c r="R551" s="39">
        <f>IF(ISNUMBER(Q551),IF(Q551&lt;=Finder!$D$7,1,0),0)</f>
        <v>0</v>
      </c>
      <c r="S551" s="39" t="str">
        <f>IF(R551=1,O551+ROW()*0.000000001,"")</f>
        <v/>
      </c>
      <c r="T551" s="39" t="str">
        <f>IF(O551&gt;0,INDEX(Calc!$B$4:$B$11,MATCH(MAX(G551:N551),G551:N551,0)),"-")</f>
        <v>Maize Stover</v>
      </c>
    </row>
    <row r="552" spans="1:20">
      <c r="A552" s="39">
        <v>549</v>
      </c>
      <c r="B552" s="39" t="s">
        <v>630</v>
      </c>
      <c r="C552" s="39" t="s">
        <v>632</v>
      </c>
      <c r="D552" s="39" t="str">
        <f>B552&amp;"|"&amp;C552</f>
        <v>Sikkim|Gyalshing</v>
      </c>
      <c r="E552" s="40">
        <v>27.29</v>
      </c>
      <c r="F552" s="40">
        <v>88.26</v>
      </c>
      <c r="G552" s="41">
        <v>0</v>
      </c>
      <c r="H552" s="41">
        <v>0</v>
      </c>
      <c r="I552" s="41">
        <v>6.1398999999999999</v>
      </c>
      <c r="J552" s="41">
        <v>4.1000000000000002E-2</v>
      </c>
      <c r="K552" s="41">
        <v>0</v>
      </c>
      <c r="L552" s="41">
        <v>0</v>
      </c>
      <c r="M552" s="41">
        <v>0.2485</v>
      </c>
      <c r="N552" s="41">
        <v>0</v>
      </c>
      <c r="O552" s="42">
        <f>SUM(G552:N552)</f>
        <v>6.4294000000000002</v>
      </c>
      <c r="P552" s="42">
        <f>SUMPRODUCT(G552:N552,$G$2:$N$2)*1000/Assumptions!$C$15</f>
        <v>1.8967819307917888</v>
      </c>
      <c r="Q552" s="43">
        <f>IF(ISNUMBER(Finder!$G$5),Finder!$D$8*Assumptions!$C$16*2*ASIN(SQRT(SIN(RADIANS(E552-Finder!$G$5)/2)^2+COS(RADIANS(Finder!$G$5))*COS(RADIANS(E552))*SIN(RADIANS(F552-Finder!$G$6)/2)^2)),"")</f>
        <v>1245.2897472667719</v>
      </c>
      <c r="R552" s="39">
        <f>IF(ISNUMBER(Q552),IF(Q552&lt;=Finder!$D$7,1,0),0)</f>
        <v>0</v>
      </c>
      <c r="S552" s="39" t="str">
        <f>IF(R552=1,O552+ROW()*0.000000001,"")</f>
        <v/>
      </c>
      <c r="T552" s="39" t="str">
        <f>IF(O552&gt;0,INDEX(Calc!$B$4:$B$11,MATCH(MAX(G552:N552),G552:N552,0)),"-")</f>
        <v>Maize Stover</v>
      </c>
    </row>
    <row r="553" spans="1:20">
      <c r="A553" s="39">
        <v>550</v>
      </c>
      <c r="B553" s="39" t="s">
        <v>630</v>
      </c>
      <c r="C553" s="39" t="s">
        <v>633</v>
      </c>
      <c r="D553" s="39" t="str">
        <f>B553&amp;"|"&amp;C553</f>
        <v>Sikkim|Mangan</v>
      </c>
      <c r="E553" s="40">
        <v>27.51</v>
      </c>
      <c r="F553" s="40">
        <v>88.53</v>
      </c>
      <c r="G553" s="41">
        <v>0.42</v>
      </c>
      <c r="H553" s="41">
        <v>0</v>
      </c>
      <c r="I553" s="41">
        <v>2.3881999999999999</v>
      </c>
      <c r="J553" s="41">
        <v>0.14030000000000001</v>
      </c>
      <c r="K553" s="41">
        <v>0</v>
      </c>
      <c r="L553" s="41">
        <v>0</v>
      </c>
      <c r="M553" s="41">
        <v>0.2336</v>
      </c>
      <c r="N553" s="41">
        <v>0</v>
      </c>
      <c r="O553" s="42">
        <f>SUM(G553:N553)</f>
        <v>3.1820999999999997</v>
      </c>
      <c r="P553" s="42">
        <f>SUMPRODUCT(G553:N553,$G$2:$N$2)*1000/Assumptions!$C$15</f>
        <v>0.97155979002932547</v>
      </c>
      <c r="Q553" s="43">
        <f>IF(ISNUMBER(Finder!$G$5),Finder!$D$8*Assumptions!$C$16*2*ASIN(SQRT(SIN(RADIANS(E553-Finder!$G$5)/2)^2+COS(RADIANS(Finder!$G$5))*COS(RADIANS(E553))*SIN(RADIANS(F553-Finder!$G$6)/2)^2)),"")</f>
        <v>1266.3330832744498</v>
      </c>
      <c r="R553" s="39">
        <f>IF(ISNUMBER(Q553),IF(Q553&lt;=Finder!$D$7,1,0),0)</f>
        <v>0</v>
      </c>
      <c r="S553" s="39" t="str">
        <f>IF(R553=1,O553+ROW()*0.000000001,"")</f>
        <v/>
      </c>
      <c r="T553" s="39" t="str">
        <f>IF(O553&gt;0,INDEX(Calc!$B$4:$B$11,MATCH(MAX(G553:N553),G553:N553,0)),"-")</f>
        <v>Maize Stover</v>
      </c>
    </row>
    <row r="554" spans="1:20">
      <c r="A554" s="39">
        <v>551</v>
      </c>
      <c r="B554" s="39" t="s">
        <v>630</v>
      </c>
      <c r="C554" s="39" t="s">
        <v>634</v>
      </c>
      <c r="D554" s="39" t="str">
        <f>B554&amp;"|"&amp;C554</f>
        <v>Sikkim|Namchi</v>
      </c>
      <c r="E554" s="40">
        <v>27.17</v>
      </c>
      <c r="F554" s="40">
        <v>88.36</v>
      </c>
      <c r="G554" s="41">
        <v>0</v>
      </c>
      <c r="H554" s="41">
        <v>0</v>
      </c>
      <c r="I554" s="41">
        <v>12.7234</v>
      </c>
      <c r="J554" s="41">
        <v>0.42449999999999999</v>
      </c>
      <c r="K554" s="41">
        <v>0</v>
      </c>
      <c r="L554" s="41">
        <v>0</v>
      </c>
      <c r="M554" s="41">
        <v>1.0097</v>
      </c>
      <c r="N554" s="41">
        <v>0</v>
      </c>
      <c r="O554" s="42">
        <f>SUM(G554:N554)</f>
        <v>14.1576</v>
      </c>
      <c r="P554" s="42">
        <f>SUMPRODUCT(G554:N554,$G$2:$N$2)*1000/Assumptions!$C$15</f>
        <v>4.1867251354838713</v>
      </c>
      <c r="Q554" s="43">
        <f>IF(ISNUMBER(Finder!$G$5),Finder!$D$8*Assumptions!$C$16*2*ASIN(SQRT(SIN(RADIANS(E554-Finder!$G$5)/2)^2+COS(RADIANS(Finder!$G$5))*COS(RADIANS(E554))*SIN(RADIANS(F554-Finder!$G$6)/2)^2)),"")</f>
        <v>1257.8798881925854</v>
      </c>
      <c r="R554" s="39">
        <f>IF(ISNUMBER(Q554),IF(Q554&lt;=Finder!$D$7,1,0),0)</f>
        <v>0</v>
      </c>
      <c r="S554" s="39" t="str">
        <f>IF(R554=1,O554+ROW()*0.000000001,"")</f>
        <v/>
      </c>
      <c r="T554" s="39" t="str">
        <f>IF(O554&gt;0,INDEX(Calc!$B$4:$B$11,MATCH(MAX(G554:N554),G554:N554,0)),"-")</f>
        <v>Maize Stover</v>
      </c>
    </row>
    <row r="555" spans="1:20">
      <c r="A555" s="39">
        <v>552</v>
      </c>
      <c r="B555" s="39" t="s">
        <v>630</v>
      </c>
      <c r="C555" s="39" t="s">
        <v>635</v>
      </c>
      <c r="D555" s="39" t="str">
        <f>B555&amp;"|"&amp;C555</f>
        <v>Sikkim|Pakyong</v>
      </c>
      <c r="E555" s="40">
        <v>27.23</v>
      </c>
      <c r="F555" s="40">
        <v>88.59</v>
      </c>
      <c r="G555" s="41">
        <v>0.84</v>
      </c>
      <c r="H555" s="41">
        <v>0</v>
      </c>
      <c r="I555" s="41">
        <v>4.7313000000000001</v>
      </c>
      <c r="J555" s="41">
        <v>0.47039999999999998</v>
      </c>
      <c r="K555" s="41">
        <v>0</v>
      </c>
      <c r="L555" s="41">
        <v>0</v>
      </c>
      <c r="M555" s="41">
        <v>0.61509999999999998</v>
      </c>
      <c r="N555" s="41">
        <v>0</v>
      </c>
      <c r="O555" s="42">
        <f>SUM(G555:N555)</f>
        <v>6.6567999999999996</v>
      </c>
      <c r="P555" s="42">
        <f>SUMPRODUCT(G555:N555,$G$2:$N$2)*1000/Assumptions!$C$15</f>
        <v>2.0323928609970672</v>
      </c>
      <c r="Q555" s="43">
        <f>IF(ISNUMBER(Finder!$G$5),Finder!$D$8*Assumptions!$C$16*2*ASIN(SQRT(SIN(RADIANS(E555-Finder!$G$5)/2)^2+COS(RADIANS(Finder!$G$5))*COS(RADIANS(E555))*SIN(RADIANS(F555-Finder!$G$6)/2)^2)),"")</f>
        <v>1278.5789735779151</v>
      </c>
      <c r="R555" s="39">
        <f>IF(ISNUMBER(Q555),IF(Q555&lt;=Finder!$D$7,1,0),0)</f>
        <v>0</v>
      </c>
      <c r="S555" s="39" t="str">
        <f>IF(R555=1,O555+ROW()*0.000000001,"")</f>
        <v/>
      </c>
      <c r="T555" s="39" t="str">
        <f>IF(O555&gt;0,INDEX(Calc!$B$4:$B$11,MATCH(MAX(G555:N555),G555:N555,0)),"-")</f>
        <v>Maize Stover</v>
      </c>
    </row>
    <row r="556" spans="1:20">
      <c r="A556" s="39">
        <v>553</v>
      </c>
      <c r="B556" s="39" t="s">
        <v>630</v>
      </c>
      <c r="C556" s="39" t="s">
        <v>636</v>
      </c>
      <c r="D556" s="39" t="str">
        <f>B556&amp;"|"&amp;C556</f>
        <v>Sikkim|Soreng</v>
      </c>
      <c r="E556" s="40">
        <v>27.17</v>
      </c>
      <c r="F556" s="40">
        <v>88.2</v>
      </c>
      <c r="G556" s="41">
        <v>0.42</v>
      </c>
      <c r="H556" s="41">
        <v>0</v>
      </c>
      <c r="I556" s="41">
        <v>6.133</v>
      </c>
      <c r="J556" s="41">
        <v>7.2300000000000003E-2</v>
      </c>
      <c r="K556" s="41">
        <v>0</v>
      </c>
      <c r="L556" s="41">
        <v>0</v>
      </c>
      <c r="M556" s="41">
        <v>7.5200000000000003E-2</v>
      </c>
      <c r="N556" s="41">
        <v>0</v>
      </c>
      <c r="O556" s="42">
        <f>SUM(G556:N556)</f>
        <v>6.7004999999999999</v>
      </c>
      <c r="P556" s="42">
        <f>SUMPRODUCT(G556:N556,$G$2:$N$2)*1000/Assumptions!$C$15</f>
        <v>2.0031865442815251</v>
      </c>
      <c r="Q556" s="43">
        <f>IF(ISNUMBER(Finder!$G$5),Finder!$D$8*Assumptions!$C$16*2*ASIN(SQRT(SIN(RADIANS(E556-Finder!$G$5)/2)^2+COS(RADIANS(Finder!$G$5))*COS(RADIANS(E556))*SIN(RADIANS(F556-Finder!$G$6)/2)^2)),"")</f>
        <v>1242.4619626327876</v>
      </c>
      <c r="R556" s="39">
        <f>IF(ISNUMBER(Q556),IF(Q556&lt;=Finder!$D$7,1,0),0)</f>
        <v>0</v>
      </c>
      <c r="S556" s="39" t="str">
        <f>IF(R556=1,O556+ROW()*0.000000001,"")</f>
        <v/>
      </c>
      <c r="T556" s="39" t="str">
        <f>IF(O556&gt;0,INDEX(Calc!$B$4:$B$11,MATCH(MAX(G556:N556),G556:N556,0)),"-")</f>
        <v>Maize Stover</v>
      </c>
    </row>
    <row r="557" spans="1:20">
      <c r="A557" s="39">
        <v>554</v>
      </c>
      <c r="B557" s="39" t="s">
        <v>637</v>
      </c>
      <c r="C557" s="39" t="s">
        <v>638</v>
      </c>
      <c r="D557" s="39" t="str">
        <f>B557&amp;"|"&amp;C557</f>
        <v>Tamil Nadu|Ariyalur</v>
      </c>
      <c r="E557" s="40">
        <v>11.14</v>
      </c>
      <c r="F557" s="40">
        <v>79.08</v>
      </c>
      <c r="G557" s="41">
        <v>11.34</v>
      </c>
      <c r="H557" s="41">
        <v>0</v>
      </c>
      <c r="I557" s="41">
        <v>120.50530000000001</v>
      </c>
      <c r="J557" s="41">
        <v>0</v>
      </c>
      <c r="K557" s="41">
        <v>59.298699999999997</v>
      </c>
      <c r="L557" s="41">
        <v>6.9181999999999997</v>
      </c>
      <c r="M557" s="41">
        <v>0</v>
      </c>
      <c r="N557" s="41">
        <v>0</v>
      </c>
      <c r="O557" s="42">
        <f>SUM(G557:N557)</f>
        <v>198.06220000000002</v>
      </c>
      <c r="P557" s="42">
        <f>SUMPRODUCT(G557:N557,$G$2:$N$2)*1000/Assumptions!$C$15</f>
        <v>58.970050012316719</v>
      </c>
      <c r="Q557" s="43">
        <f>IF(ISNUMBER(Finder!$G$5),Finder!$D$8*Assumptions!$C$16*2*ASIN(SQRT(SIN(RADIANS(E557-Finder!$G$5)/2)^2+COS(RADIANS(Finder!$G$5))*COS(RADIANS(E557))*SIN(RADIANS(F557-Finder!$G$6)/2)^2)),"")</f>
        <v>2032.7542158259896</v>
      </c>
      <c r="R557" s="39">
        <f>IF(ISNUMBER(Q557),IF(Q557&lt;=Finder!$D$7,1,0),0)</f>
        <v>0</v>
      </c>
      <c r="S557" s="39" t="str">
        <f>IF(R557=1,O557+ROW()*0.000000001,"")</f>
        <v/>
      </c>
      <c r="T557" s="39" t="str">
        <f>IF(O557&gt;0,INDEX(Calc!$B$4:$B$11,MATCH(MAX(G557:N557),G557:N557,0)),"-")</f>
        <v>Maize Stover</v>
      </c>
    </row>
    <row r="558" spans="1:20">
      <c r="A558" s="39">
        <v>555</v>
      </c>
      <c r="B558" s="39" t="s">
        <v>637</v>
      </c>
      <c r="C558" s="39" t="s">
        <v>639</v>
      </c>
      <c r="D558" s="39" t="str">
        <f>B558&amp;"|"&amp;C558</f>
        <v>Tamil Nadu|Chengalpattu</v>
      </c>
      <c r="E558" s="40">
        <v>12.69</v>
      </c>
      <c r="F558" s="40">
        <v>79.98</v>
      </c>
      <c r="G558" s="41">
        <v>23.94</v>
      </c>
      <c r="H558" s="41">
        <v>0</v>
      </c>
      <c r="I558" s="41">
        <v>2.0500000000000001E-2</v>
      </c>
      <c r="J558" s="41">
        <v>0</v>
      </c>
      <c r="K558" s="41">
        <v>13.0145</v>
      </c>
      <c r="L558" s="41">
        <v>1.5184</v>
      </c>
      <c r="M558" s="41">
        <v>0</v>
      </c>
      <c r="N558" s="41">
        <v>0</v>
      </c>
      <c r="O558" s="42">
        <f>SUM(G558:N558)</f>
        <v>38.493400000000001</v>
      </c>
      <c r="P558" s="42">
        <f>SUMPRODUCT(G558:N558,$G$2:$N$2)*1000/Assumptions!$C$15</f>
        <v>13.030980097360704</v>
      </c>
      <c r="Q558" s="43">
        <f>IF(ISNUMBER(Finder!$G$5),Finder!$D$8*Assumptions!$C$16*2*ASIN(SQRT(SIN(RADIANS(E558-Finder!$G$5)/2)^2+COS(RADIANS(Finder!$G$5))*COS(RADIANS(E558))*SIN(RADIANS(F558-Finder!$G$6)/2)^2)),"")</f>
        <v>1882.472669531031</v>
      </c>
      <c r="R558" s="39">
        <f>IF(ISNUMBER(Q558),IF(Q558&lt;=Finder!$D$7,1,0),0)</f>
        <v>0</v>
      </c>
      <c r="S558" s="39" t="str">
        <f>IF(R558=1,O558+ROW()*0.000000001,"")</f>
        <v/>
      </c>
      <c r="T558" s="39" t="str">
        <f>IF(O558&gt;0,INDEX(Calc!$B$4:$B$11,MATCH(MAX(G558:N558),G558:N558,0)),"-")</f>
        <v>Paddy Straw</v>
      </c>
    </row>
    <row r="559" spans="1:20">
      <c r="A559" s="39">
        <v>556</v>
      </c>
      <c r="B559" s="39" t="s">
        <v>637</v>
      </c>
      <c r="C559" s="39" t="s">
        <v>640</v>
      </c>
      <c r="D559" s="39" t="str">
        <f>B559&amp;"|"&amp;C559</f>
        <v>Tamil Nadu|Chennai</v>
      </c>
      <c r="E559" s="40">
        <v>13.08</v>
      </c>
      <c r="F559" s="40">
        <v>80.27</v>
      </c>
      <c r="G559" s="41">
        <v>0</v>
      </c>
      <c r="H559" s="41">
        <v>0</v>
      </c>
      <c r="I559" s="41">
        <v>0</v>
      </c>
      <c r="J559" s="41">
        <v>0</v>
      </c>
      <c r="K559" s="41">
        <v>0</v>
      </c>
      <c r="L559" s="41">
        <v>0</v>
      </c>
      <c r="M559" s="41">
        <v>0</v>
      </c>
      <c r="N559" s="41">
        <v>0</v>
      </c>
      <c r="O559" s="42">
        <f>SUM(G559:N559)</f>
        <v>0</v>
      </c>
      <c r="P559" s="42">
        <f>SUMPRODUCT(G559:N559,$G$2:$N$2)*1000/Assumptions!$C$15</f>
        <v>0</v>
      </c>
      <c r="Q559" s="43">
        <f>IF(ISNUMBER(Finder!$G$5),Finder!$D$8*Assumptions!$C$16*2*ASIN(SQRT(SIN(RADIANS(E559-Finder!$G$5)/2)^2+COS(RADIANS(Finder!$G$5))*COS(RADIANS(E559))*SIN(RADIANS(F559-Finder!$G$6)/2)^2)),"")</f>
        <v>1847.6035564543861</v>
      </c>
      <c r="R559" s="39">
        <f>IF(ISNUMBER(Q559),IF(Q559&lt;=Finder!$D$7,1,0),0)</f>
        <v>0</v>
      </c>
      <c r="S559" s="39" t="str">
        <f>IF(R559=1,O559+ROW()*0.000000001,"")</f>
        <v/>
      </c>
      <c r="T559" s="39" t="str">
        <f>IF(O559&gt;0,INDEX(Calc!$B$4:$B$11,MATCH(MAX(G559:N559),G559:N559,0)),"-")</f>
        <v>-</v>
      </c>
    </row>
    <row r="560" spans="1:20">
      <c r="A560" s="39">
        <v>557</v>
      </c>
      <c r="B560" s="39" t="s">
        <v>637</v>
      </c>
      <c r="C560" s="39" t="s">
        <v>641</v>
      </c>
      <c r="D560" s="39" t="str">
        <f>B560&amp;"|"&amp;C560</f>
        <v>Tamil Nadu|Coimbatore</v>
      </c>
      <c r="E560" s="40">
        <v>11.02</v>
      </c>
      <c r="F560" s="40">
        <v>76.959999999999994</v>
      </c>
      <c r="G560" s="41">
        <v>0.42</v>
      </c>
      <c r="H560" s="41">
        <v>0</v>
      </c>
      <c r="I560" s="41">
        <v>25.098099999999999</v>
      </c>
      <c r="J560" s="41">
        <v>0</v>
      </c>
      <c r="K560" s="41">
        <v>7.6219000000000001</v>
      </c>
      <c r="L560" s="41">
        <v>0.88919999999999999</v>
      </c>
      <c r="M560" s="41">
        <v>0</v>
      </c>
      <c r="N560" s="41">
        <v>0</v>
      </c>
      <c r="O560" s="42">
        <f>SUM(G560:N560)</f>
        <v>34.029200000000003</v>
      </c>
      <c r="P560" s="42">
        <f>SUMPRODUCT(G560:N560,$G$2:$N$2)*1000/Assumptions!$C$15</f>
        <v>10.026140319061582</v>
      </c>
      <c r="Q560" s="43">
        <f>IF(ISNUMBER(Finder!$G$5),Finder!$D$8*Assumptions!$C$16*2*ASIN(SQRT(SIN(RADIANS(E560-Finder!$G$5)/2)^2+COS(RADIANS(Finder!$G$5))*COS(RADIANS(E560))*SIN(RADIANS(F560-Finder!$G$6)/2)^2)),"")</f>
        <v>2020.0701465584398</v>
      </c>
      <c r="R560" s="39">
        <f>IF(ISNUMBER(Q560),IF(Q560&lt;=Finder!$D$7,1,0),0)</f>
        <v>0</v>
      </c>
      <c r="S560" s="39" t="str">
        <f>IF(R560=1,O560+ROW()*0.000000001,"")</f>
        <v/>
      </c>
      <c r="T560" s="39" t="str">
        <f>IF(O560&gt;0,INDEX(Calc!$B$4:$B$11,MATCH(MAX(G560:N560),G560:N560,0)),"-")</f>
        <v>Maize Stover</v>
      </c>
    </row>
    <row r="561" spans="1:20">
      <c r="A561" s="39">
        <v>558</v>
      </c>
      <c r="B561" s="39" t="s">
        <v>637</v>
      </c>
      <c r="C561" s="39" t="s">
        <v>642</v>
      </c>
      <c r="D561" s="39" t="str">
        <f>B561&amp;"|"&amp;C561</f>
        <v>Tamil Nadu|Cuddalore</v>
      </c>
      <c r="E561" s="40">
        <v>11.75</v>
      </c>
      <c r="F561" s="40">
        <v>79.75</v>
      </c>
      <c r="G561" s="41">
        <v>66.78</v>
      </c>
      <c r="H561" s="41">
        <v>0</v>
      </c>
      <c r="I561" s="41">
        <v>153.77670000000001</v>
      </c>
      <c r="J561" s="41">
        <v>0</v>
      </c>
      <c r="K561" s="41">
        <v>361.77249999999998</v>
      </c>
      <c r="L561" s="41">
        <v>42.206800000000001</v>
      </c>
      <c r="M561" s="41">
        <v>0</v>
      </c>
      <c r="N561" s="41">
        <v>0</v>
      </c>
      <c r="O561" s="42">
        <f>SUM(G561:N561)</f>
        <v>624.53600000000006</v>
      </c>
      <c r="P561" s="42">
        <f>SUMPRODUCT(G561:N561,$G$2:$N$2)*1000/Assumptions!$C$15</f>
        <v>187.84668170557183</v>
      </c>
      <c r="Q561" s="43">
        <f>IF(ISNUMBER(Finder!$G$5),Finder!$D$8*Assumptions!$C$16*2*ASIN(SQRT(SIN(RADIANS(E561-Finder!$G$5)/2)^2+COS(RADIANS(Finder!$G$5))*COS(RADIANS(E561))*SIN(RADIANS(F561-Finder!$G$6)/2)^2)),"")</f>
        <v>1979.337686878036</v>
      </c>
      <c r="R561" s="39">
        <f>IF(ISNUMBER(Q561),IF(Q561&lt;=Finder!$D$7,1,0),0)</f>
        <v>0</v>
      </c>
      <c r="S561" s="39" t="str">
        <f>IF(R561=1,O561+ROW()*0.000000001,"")</f>
        <v/>
      </c>
      <c r="T561" s="39" t="str">
        <f>IF(O561&gt;0,INDEX(Calc!$B$4:$B$11,MATCH(MAX(G561:N561),G561:N561,0)),"-")</f>
        <v>Cane Trash</v>
      </c>
    </row>
    <row r="562" spans="1:20">
      <c r="A562" s="39">
        <v>559</v>
      </c>
      <c r="B562" s="39" t="s">
        <v>637</v>
      </c>
      <c r="C562" s="39" t="s">
        <v>643</v>
      </c>
      <c r="D562" s="39" t="str">
        <f>B562&amp;"|"&amp;C562</f>
        <v>Tamil Nadu|Dharmapuri</v>
      </c>
      <c r="E562" s="40">
        <v>12.13</v>
      </c>
      <c r="F562" s="40">
        <v>78.16</v>
      </c>
      <c r="G562" s="41">
        <v>9.66</v>
      </c>
      <c r="H562" s="41">
        <v>0</v>
      </c>
      <c r="I562" s="41">
        <v>31.117799999999999</v>
      </c>
      <c r="J562" s="41">
        <v>5.9999999999999995E-4</v>
      </c>
      <c r="K562" s="41">
        <v>97.912599999999998</v>
      </c>
      <c r="L562" s="41">
        <v>11.4231</v>
      </c>
      <c r="M562" s="41">
        <v>0</v>
      </c>
      <c r="N562" s="41">
        <v>0</v>
      </c>
      <c r="O562" s="42">
        <f>SUM(G562:N562)</f>
        <v>150.11410000000001</v>
      </c>
      <c r="P562" s="42">
        <f>SUMPRODUCT(G562:N562,$G$2:$N$2)*1000/Assumptions!$C$15</f>
        <v>44.666860803812312</v>
      </c>
      <c r="Q562" s="43">
        <f>IF(ISNUMBER(Finder!$G$5),Finder!$D$8*Assumptions!$C$16*2*ASIN(SQRT(SIN(RADIANS(E562-Finder!$G$5)/2)^2+COS(RADIANS(Finder!$G$5))*COS(RADIANS(E562))*SIN(RADIANS(F562-Finder!$G$6)/2)^2)),"")</f>
        <v>1909.3153636828742</v>
      </c>
      <c r="R562" s="39">
        <f>IF(ISNUMBER(Q562),IF(Q562&lt;=Finder!$D$7,1,0),0)</f>
        <v>0</v>
      </c>
      <c r="S562" s="39" t="str">
        <f>IF(R562=1,O562+ROW()*0.000000001,"")</f>
        <v/>
      </c>
      <c r="T562" s="39" t="str">
        <f>IF(O562&gt;0,INDEX(Calc!$B$4:$B$11,MATCH(MAX(G562:N562),G562:N562,0)),"-")</f>
        <v>Cane Trash</v>
      </c>
    </row>
    <row r="563" spans="1:20">
      <c r="A563" s="39">
        <v>560</v>
      </c>
      <c r="B563" s="39" t="s">
        <v>637</v>
      </c>
      <c r="C563" s="39" t="s">
        <v>644</v>
      </c>
      <c r="D563" s="39" t="str">
        <f>B563&amp;"|"&amp;C563</f>
        <v>Tamil Nadu|Dindigul</v>
      </c>
      <c r="E563" s="40">
        <v>10.36</v>
      </c>
      <c r="F563" s="40">
        <v>77.98</v>
      </c>
      <c r="G563" s="41">
        <v>8.4</v>
      </c>
      <c r="H563" s="41">
        <v>0</v>
      </c>
      <c r="I563" s="41">
        <v>262.17450000000002</v>
      </c>
      <c r="J563" s="41">
        <v>0</v>
      </c>
      <c r="K563" s="41">
        <v>40.404400000000003</v>
      </c>
      <c r="L563" s="41">
        <v>4.7138</v>
      </c>
      <c r="M563" s="41">
        <v>0</v>
      </c>
      <c r="N563" s="41">
        <v>0</v>
      </c>
      <c r="O563" s="42">
        <f>SUM(G563:N563)</f>
        <v>315.6927</v>
      </c>
      <c r="P563" s="42">
        <f>SUMPRODUCT(G563:N563,$G$2:$N$2)*1000/Assumptions!$C$15</f>
        <v>93.399303967741929</v>
      </c>
      <c r="Q563" s="43">
        <f>IF(ISNUMBER(Finder!$G$5),Finder!$D$8*Assumptions!$C$16*2*ASIN(SQRT(SIN(RADIANS(E563-Finder!$G$5)/2)^2+COS(RADIANS(Finder!$G$5))*COS(RADIANS(E563))*SIN(RADIANS(F563-Finder!$G$6)/2)^2)),"")</f>
        <v>2102.5301500886058</v>
      </c>
      <c r="R563" s="39">
        <f>IF(ISNUMBER(Q563),IF(Q563&lt;=Finder!$D$7,1,0),0)</f>
        <v>0</v>
      </c>
      <c r="S563" s="39" t="str">
        <f>IF(R563=1,O563+ROW()*0.000000001,"")</f>
        <v/>
      </c>
      <c r="T563" s="39" t="str">
        <f>IF(O563&gt;0,INDEX(Calc!$B$4:$B$11,MATCH(MAX(G563:N563),G563:N563,0)),"-")</f>
        <v>Maize Stover</v>
      </c>
    </row>
    <row r="564" spans="1:20">
      <c r="A564" s="39">
        <v>561</v>
      </c>
      <c r="B564" s="39" t="s">
        <v>637</v>
      </c>
      <c r="C564" s="39" t="s">
        <v>645</v>
      </c>
      <c r="D564" s="39" t="str">
        <f>B564&amp;"|"&amp;C564</f>
        <v>Tamil Nadu|Erode</v>
      </c>
      <c r="E564" s="40">
        <v>11.34</v>
      </c>
      <c r="F564" s="40">
        <v>77.72</v>
      </c>
      <c r="G564" s="41">
        <v>10.92</v>
      </c>
      <c r="H564" s="41">
        <v>0</v>
      </c>
      <c r="I564" s="41">
        <v>144.3057</v>
      </c>
      <c r="J564" s="41">
        <v>0</v>
      </c>
      <c r="K564" s="41">
        <v>407.92660000000001</v>
      </c>
      <c r="L564" s="41">
        <v>47.5914</v>
      </c>
      <c r="M564" s="41">
        <v>0</v>
      </c>
      <c r="N564" s="41">
        <v>0</v>
      </c>
      <c r="O564" s="42">
        <f>SUM(G564:N564)</f>
        <v>610.74369999999999</v>
      </c>
      <c r="P564" s="42">
        <f>SUMPRODUCT(G564:N564,$G$2:$N$2)*1000/Assumptions!$C$15</f>
        <v>179.65549690850438</v>
      </c>
      <c r="Q564" s="43">
        <f>IF(ISNUMBER(Finder!$G$5),Finder!$D$8*Assumptions!$C$16*2*ASIN(SQRT(SIN(RADIANS(E564-Finder!$G$5)/2)^2+COS(RADIANS(Finder!$G$5))*COS(RADIANS(E564))*SIN(RADIANS(F564-Finder!$G$6)/2)^2)),"")</f>
        <v>1991.2184225643107</v>
      </c>
      <c r="R564" s="39">
        <f>IF(ISNUMBER(Q564),IF(Q564&lt;=Finder!$D$7,1,0),0)</f>
        <v>0</v>
      </c>
      <c r="S564" s="39" t="str">
        <f>IF(R564=1,O564+ROW()*0.000000001,"")</f>
        <v/>
      </c>
      <c r="T564" s="39" t="str">
        <f>IF(O564&gt;0,INDEX(Calc!$B$4:$B$11,MATCH(MAX(G564:N564),G564:N564,0)),"-")</f>
        <v>Cane Trash</v>
      </c>
    </row>
    <row r="565" spans="1:20">
      <c r="A565" s="39">
        <v>562</v>
      </c>
      <c r="B565" s="39" t="s">
        <v>637</v>
      </c>
      <c r="C565" s="39" t="s">
        <v>646</v>
      </c>
      <c r="D565" s="39" t="str">
        <f>B565&amp;"|"&amp;C565</f>
        <v>Tamil Nadu|Kallakurichi</v>
      </c>
      <c r="E565" s="40">
        <v>11.74</v>
      </c>
      <c r="F565" s="40">
        <v>78.959999999999994</v>
      </c>
      <c r="G565" s="41">
        <v>22.26</v>
      </c>
      <c r="H565" s="41">
        <v>0</v>
      </c>
      <c r="I565" s="41">
        <v>210.38740000000001</v>
      </c>
      <c r="J565" s="41">
        <v>0</v>
      </c>
      <c r="K565" s="41">
        <v>519.41449999999998</v>
      </c>
      <c r="L565" s="41">
        <v>60.598399999999998</v>
      </c>
      <c r="M565" s="41">
        <v>0</v>
      </c>
      <c r="N565" s="41">
        <v>0</v>
      </c>
      <c r="O565" s="42">
        <f>SUM(G565:N565)</f>
        <v>812.66029999999989</v>
      </c>
      <c r="P565" s="42">
        <f>SUMPRODUCT(G565:N565,$G$2:$N$2)*1000/Assumptions!$C$15</f>
        <v>239.65650379354835</v>
      </c>
      <c r="Q565" s="43">
        <f>IF(ISNUMBER(Finder!$G$5),Finder!$D$8*Assumptions!$C$16*2*ASIN(SQRT(SIN(RADIANS(E565-Finder!$G$5)/2)^2+COS(RADIANS(Finder!$G$5))*COS(RADIANS(E565))*SIN(RADIANS(F565-Finder!$G$6)/2)^2)),"")</f>
        <v>1964.7979756329692</v>
      </c>
      <c r="R565" s="39">
        <f>IF(ISNUMBER(Q565),IF(Q565&lt;=Finder!$D$7,1,0),0)</f>
        <v>0</v>
      </c>
      <c r="S565" s="39" t="str">
        <f>IF(R565=1,O565+ROW()*0.000000001,"")</f>
        <v/>
      </c>
      <c r="T565" s="39" t="str">
        <f>IF(O565&gt;0,INDEX(Calc!$B$4:$B$11,MATCH(MAX(G565:N565),G565:N565,0)),"-")</f>
        <v>Cane Trash</v>
      </c>
    </row>
    <row r="566" spans="1:20">
      <c r="A566" s="39">
        <v>563</v>
      </c>
      <c r="B566" s="39" t="s">
        <v>637</v>
      </c>
      <c r="C566" s="39" t="s">
        <v>647</v>
      </c>
      <c r="D566" s="39" t="str">
        <f>B566&amp;"|"&amp;C566</f>
        <v>Tamil Nadu|Kancheepuram</v>
      </c>
      <c r="E566" s="40">
        <v>12.83</v>
      </c>
      <c r="F566" s="40">
        <v>79.7</v>
      </c>
      <c r="G566" s="41">
        <v>22.26</v>
      </c>
      <c r="H566" s="41">
        <v>0</v>
      </c>
      <c r="I566" s="41">
        <v>7.3000000000000001E-3</v>
      </c>
      <c r="J566" s="41">
        <v>0</v>
      </c>
      <c r="K566" s="41">
        <v>10.653700000000001</v>
      </c>
      <c r="L566" s="41">
        <v>1.2428999999999999</v>
      </c>
      <c r="M566" s="41">
        <v>0</v>
      </c>
      <c r="N566" s="41">
        <v>0</v>
      </c>
      <c r="O566" s="42">
        <f>SUM(G566:N566)</f>
        <v>34.163900000000005</v>
      </c>
      <c r="P566" s="42">
        <f>SUMPRODUCT(G566:N566,$G$2:$N$2)*1000/Assumptions!$C$15</f>
        <v>11.640403039002932</v>
      </c>
      <c r="Q566" s="43">
        <f>IF(ISNUMBER(Finder!$G$5),Finder!$D$8*Assumptions!$C$16*2*ASIN(SQRT(SIN(RADIANS(E566-Finder!$G$5)/2)^2+COS(RADIANS(Finder!$G$5))*COS(RADIANS(E566))*SIN(RADIANS(F566-Finder!$G$6)/2)^2)),"")</f>
        <v>1860.695480687051</v>
      </c>
      <c r="R566" s="39">
        <f>IF(ISNUMBER(Q566),IF(Q566&lt;=Finder!$D$7,1,0),0)</f>
        <v>0</v>
      </c>
      <c r="S566" s="39" t="str">
        <f>IF(R566=1,O566+ROW()*0.000000001,"")</f>
        <v/>
      </c>
      <c r="T566" s="39" t="str">
        <f>IF(O566&gt;0,INDEX(Calc!$B$4:$B$11,MATCH(MAX(G566:N566),G566:N566,0)),"-")</f>
        <v>Paddy Straw</v>
      </c>
    </row>
    <row r="567" spans="1:20">
      <c r="A567" s="39">
        <v>564</v>
      </c>
      <c r="B567" s="39" t="s">
        <v>637</v>
      </c>
      <c r="C567" s="39" t="s">
        <v>648</v>
      </c>
      <c r="D567" s="39" t="str">
        <f>B567&amp;"|"&amp;C567</f>
        <v>Tamil Nadu|Kanniyakumari</v>
      </c>
      <c r="E567" s="40">
        <v>8.18</v>
      </c>
      <c r="F567" s="40">
        <v>77.41</v>
      </c>
      <c r="G567" s="41">
        <v>6.3</v>
      </c>
      <c r="H567" s="41">
        <v>0</v>
      </c>
      <c r="I567" s="41">
        <v>0</v>
      </c>
      <c r="J567" s="41">
        <v>0</v>
      </c>
      <c r="K567" s="41">
        <v>2E-3</v>
      </c>
      <c r="L567" s="41">
        <v>2.0000000000000001E-4</v>
      </c>
      <c r="M567" s="41">
        <v>0</v>
      </c>
      <c r="N567" s="41">
        <v>0</v>
      </c>
      <c r="O567" s="42">
        <f>SUM(G567:N567)</f>
        <v>6.3022</v>
      </c>
      <c r="P567" s="42">
        <f>SUMPRODUCT(G567:N567,$G$2:$N$2)*1000/Assumptions!$C$15</f>
        <v>2.3099408932551317</v>
      </c>
      <c r="Q567" s="43">
        <f>IF(ISNUMBER(Finder!$G$5),Finder!$D$8*Assumptions!$C$16*2*ASIN(SQRT(SIN(RADIANS(E567-Finder!$G$5)/2)^2+COS(RADIANS(Finder!$G$5))*COS(RADIANS(E567))*SIN(RADIANS(F567-Finder!$G$6)/2)^2)),"")</f>
        <v>2338.4424340915502</v>
      </c>
      <c r="R567" s="39">
        <f>IF(ISNUMBER(Q567),IF(Q567&lt;=Finder!$D$7,1,0),0)</f>
        <v>0</v>
      </c>
      <c r="S567" s="39" t="str">
        <f>IF(R567=1,O567+ROW()*0.000000001,"")</f>
        <v/>
      </c>
      <c r="T567" s="39" t="str">
        <f>IF(O567&gt;0,INDEX(Calc!$B$4:$B$11,MATCH(MAX(G567:N567),G567:N567,0)),"-")</f>
        <v>Paddy Straw</v>
      </c>
    </row>
    <row r="568" spans="1:20">
      <c r="A568" s="39">
        <v>565</v>
      </c>
      <c r="B568" s="39" t="s">
        <v>637</v>
      </c>
      <c r="C568" s="39" t="s">
        <v>649</v>
      </c>
      <c r="D568" s="39" t="str">
        <f>B568&amp;"|"&amp;C568</f>
        <v>Tamil Nadu|Karur</v>
      </c>
      <c r="E568" s="40">
        <v>10.96</v>
      </c>
      <c r="F568" s="40">
        <v>78.08</v>
      </c>
      <c r="G568" s="41">
        <v>5.46</v>
      </c>
      <c r="H568" s="41">
        <v>0</v>
      </c>
      <c r="I568" s="41">
        <v>6.6422999999999996</v>
      </c>
      <c r="J568" s="41">
        <v>0</v>
      </c>
      <c r="K568" s="41">
        <v>32.712499999999999</v>
      </c>
      <c r="L568" s="41">
        <v>3.8165</v>
      </c>
      <c r="M568" s="41">
        <v>0</v>
      </c>
      <c r="N568" s="41">
        <v>0</v>
      </c>
      <c r="O568" s="42">
        <f>SUM(G568:N568)</f>
        <v>48.631299999999996</v>
      </c>
      <c r="P568" s="42">
        <f>SUMPRODUCT(G568:N568,$G$2:$N$2)*1000/Assumptions!$C$15</f>
        <v>14.637075179765395</v>
      </c>
      <c r="Q568" s="43">
        <f>IF(ISNUMBER(Finder!$G$5),Finder!$D$8*Assumptions!$C$16*2*ASIN(SQRT(SIN(RADIANS(E568-Finder!$G$5)/2)^2+COS(RADIANS(Finder!$G$5))*COS(RADIANS(E568))*SIN(RADIANS(F568-Finder!$G$6)/2)^2)),"")</f>
        <v>2037.4256575201516</v>
      </c>
      <c r="R568" s="39">
        <f>IF(ISNUMBER(Q568),IF(Q568&lt;=Finder!$D$7,1,0),0)</f>
        <v>0</v>
      </c>
      <c r="S568" s="39" t="str">
        <f>IF(R568=1,O568+ROW()*0.000000001,"")</f>
        <v/>
      </c>
      <c r="T568" s="39" t="str">
        <f>IF(O568&gt;0,INDEX(Calc!$B$4:$B$11,MATCH(MAX(G568:N568),G568:N568,0)),"-")</f>
        <v>Cane Trash</v>
      </c>
    </row>
    <row r="569" spans="1:20">
      <c r="A569" s="39">
        <v>566</v>
      </c>
      <c r="B569" s="39" t="s">
        <v>637</v>
      </c>
      <c r="C569" s="39" t="s">
        <v>650</v>
      </c>
      <c r="D569" s="39" t="str">
        <f>B569&amp;"|"&amp;C569</f>
        <v>Tamil Nadu|Krishnagiri</v>
      </c>
      <c r="E569" s="40">
        <v>12.52</v>
      </c>
      <c r="F569" s="40">
        <v>78.209999999999994</v>
      </c>
      <c r="G569" s="41">
        <v>13.02</v>
      </c>
      <c r="H569" s="41">
        <v>0</v>
      </c>
      <c r="I569" s="41">
        <v>10.311999999999999</v>
      </c>
      <c r="J569" s="41">
        <v>5.21E-2</v>
      </c>
      <c r="K569" s="41">
        <v>8.3782999999999994</v>
      </c>
      <c r="L569" s="41">
        <v>0.97750000000000004</v>
      </c>
      <c r="M569" s="41">
        <v>0</v>
      </c>
      <c r="N569" s="41">
        <v>0</v>
      </c>
      <c r="O569" s="42">
        <f>SUM(G569:N569)</f>
        <v>32.739899999999999</v>
      </c>
      <c r="P569" s="42">
        <f>SUMPRODUCT(G569:N569,$G$2:$N$2)*1000/Assumptions!$C$15</f>
        <v>10.557243247214076</v>
      </c>
      <c r="Q569" s="43">
        <f>IF(ISNUMBER(Finder!$G$5),Finder!$D$8*Assumptions!$C$16*2*ASIN(SQRT(SIN(RADIANS(E569-Finder!$G$5)/2)^2+COS(RADIANS(Finder!$G$5))*COS(RADIANS(E569))*SIN(RADIANS(F569-Finder!$G$6)/2)^2)),"")</f>
        <v>1867.0082659500822</v>
      </c>
      <c r="R569" s="39">
        <f>IF(ISNUMBER(Q569),IF(Q569&lt;=Finder!$D$7,1,0),0)</f>
        <v>0</v>
      </c>
      <c r="S569" s="39" t="str">
        <f>IF(R569=1,O569+ROW()*0.000000001,"")</f>
        <v/>
      </c>
      <c r="T569" s="39" t="str">
        <f>IF(O569&gt;0,INDEX(Calc!$B$4:$B$11,MATCH(MAX(G569:N569),G569:N569,0)),"-")</f>
        <v>Paddy Straw</v>
      </c>
    </row>
    <row r="570" spans="1:20">
      <c r="A570" s="39">
        <v>567</v>
      </c>
      <c r="B570" s="39" t="s">
        <v>637</v>
      </c>
      <c r="C570" s="39" t="s">
        <v>651</v>
      </c>
      <c r="D570" s="39" t="str">
        <f>B570&amp;"|"&amp;C570</f>
        <v>Tamil Nadu|Madurai</v>
      </c>
      <c r="E570" s="40">
        <v>9.93</v>
      </c>
      <c r="F570" s="40">
        <v>78.12</v>
      </c>
      <c r="G570" s="41">
        <v>21.84</v>
      </c>
      <c r="H570" s="41">
        <v>0</v>
      </c>
      <c r="I570" s="41">
        <v>112.5243</v>
      </c>
      <c r="J570" s="41">
        <v>0</v>
      </c>
      <c r="K570" s="41">
        <v>20.860399999999998</v>
      </c>
      <c r="L570" s="41">
        <v>2.4337</v>
      </c>
      <c r="M570" s="41">
        <v>0</v>
      </c>
      <c r="N570" s="41">
        <v>0</v>
      </c>
      <c r="O570" s="42">
        <f>SUM(G570:N570)</f>
        <v>157.65839999999997</v>
      </c>
      <c r="P570" s="42">
        <f>SUMPRODUCT(G570:N570,$G$2:$N$2)*1000/Assumptions!$C$15</f>
        <v>47.919710397360703</v>
      </c>
      <c r="Q570" s="43">
        <f>IF(ISNUMBER(Finder!$G$5),Finder!$D$8*Assumptions!$C$16*2*ASIN(SQRT(SIN(RADIANS(E570-Finder!$G$5)/2)^2+COS(RADIANS(Finder!$G$5))*COS(RADIANS(E570))*SIN(RADIANS(F570-Finder!$G$6)/2)^2)),"")</f>
        <v>2151.7226823496553</v>
      </c>
      <c r="R570" s="39">
        <f>IF(ISNUMBER(Q570),IF(Q570&lt;=Finder!$D$7,1,0),0)</f>
        <v>0</v>
      </c>
      <c r="S570" s="39" t="str">
        <f>IF(R570=1,O570+ROW()*0.000000001,"")</f>
        <v/>
      </c>
      <c r="T570" s="39" t="str">
        <f>IF(O570&gt;0,INDEX(Calc!$B$4:$B$11,MATCH(MAX(G570:N570),G570:N570,0)),"-")</f>
        <v>Maize Stover</v>
      </c>
    </row>
    <row r="571" spans="1:20">
      <c r="A571" s="39">
        <v>568</v>
      </c>
      <c r="B571" s="39" t="s">
        <v>637</v>
      </c>
      <c r="C571" s="39" t="s">
        <v>652</v>
      </c>
      <c r="D571" s="39" t="str">
        <f>B571&amp;"|"&amp;C571</f>
        <v>Tamil Nadu|Mayiladuthurai</v>
      </c>
      <c r="E571" s="40">
        <v>11.1</v>
      </c>
      <c r="F571" s="40">
        <v>79.650000000000006</v>
      </c>
      <c r="G571" s="41">
        <v>53.76</v>
      </c>
      <c r="H571" s="41">
        <v>0</v>
      </c>
      <c r="I571" s="41">
        <v>0.14799999999999999</v>
      </c>
      <c r="J571" s="41">
        <v>0</v>
      </c>
      <c r="K571" s="41">
        <v>8.4383999999999997</v>
      </c>
      <c r="L571" s="41">
        <v>0.98450000000000004</v>
      </c>
      <c r="M571" s="41">
        <v>0</v>
      </c>
      <c r="N571" s="41">
        <v>0</v>
      </c>
      <c r="O571" s="42">
        <f>SUM(G571:N571)</f>
        <v>63.3309</v>
      </c>
      <c r="P571" s="42">
        <f>SUMPRODUCT(G571:N571,$G$2:$N$2)*1000/Assumptions!$C$15</f>
        <v>22.50489572756598</v>
      </c>
      <c r="Q571" s="43">
        <f>IF(ISNUMBER(Finder!$G$5),Finder!$D$8*Assumptions!$C$16*2*ASIN(SQRT(SIN(RADIANS(E571-Finder!$G$5)/2)^2+COS(RADIANS(Finder!$G$5))*COS(RADIANS(E571))*SIN(RADIANS(F571-Finder!$G$6)/2)^2)),"")</f>
        <v>2048.1000177758651</v>
      </c>
      <c r="R571" s="39">
        <f>IF(ISNUMBER(Q571),IF(Q571&lt;=Finder!$D$7,1,0),0)</f>
        <v>0</v>
      </c>
      <c r="S571" s="39" t="str">
        <f>IF(R571=1,O571+ROW()*0.000000001,"")</f>
        <v/>
      </c>
      <c r="T571" s="39" t="str">
        <f>IF(O571&gt;0,INDEX(Calc!$B$4:$B$11,MATCH(MAX(G571:N571),G571:N571,0)),"-")</f>
        <v>Paddy Straw</v>
      </c>
    </row>
    <row r="572" spans="1:20">
      <c r="A572" s="39">
        <v>569</v>
      </c>
      <c r="B572" s="39" t="s">
        <v>637</v>
      </c>
      <c r="C572" s="39" t="s">
        <v>653</v>
      </c>
      <c r="D572" s="39" t="str">
        <f>B572&amp;"|"&amp;C572</f>
        <v>Tamil Nadu|Nagapattinam</v>
      </c>
      <c r="E572" s="40">
        <v>10.77</v>
      </c>
      <c r="F572" s="40">
        <v>79.84</v>
      </c>
      <c r="G572" s="41">
        <v>25.62</v>
      </c>
      <c r="H572" s="41">
        <v>0</v>
      </c>
      <c r="I572" s="41">
        <v>0</v>
      </c>
      <c r="J572" s="41">
        <v>0</v>
      </c>
      <c r="K572" s="41">
        <v>5.2900000000000003E-2</v>
      </c>
      <c r="L572" s="41">
        <v>6.1999999999999998E-3</v>
      </c>
      <c r="M572" s="41">
        <v>0</v>
      </c>
      <c r="N572" s="41">
        <v>0</v>
      </c>
      <c r="O572" s="42">
        <f>SUM(G572:N572)</f>
        <v>25.679100000000002</v>
      </c>
      <c r="P572" s="42">
        <f>SUMPRODUCT(G572:N572,$G$2:$N$2)*1000/Assumptions!$C$15</f>
        <v>9.4083967865102629</v>
      </c>
      <c r="Q572" s="43">
        <f>IF(ISNUMBER(Finder!$G$5),Finder!$D$8*Assumptions!$C$16*2*ASIN(SQRT(SIN(RADIANS(E572-Finder!$G$5)/2)^2+COS(RADIANS(Finder!$G$5))*COS(RADIANS(E572))*SIN(RADIANS(F572-Finder!$G$6)/2)^2)),"")</f>
        <v>2088.0970072828045</v>
      </c>
      <c r="R572" s="39">
        <f>IF(ISNUMBER(Q572),IF(Q572&lt;=Finder!$D$7,1,0),0)</f>
        <v>0</v>
      </c>
      <c r="S572" s="39" t="str">
        <f>IF(R572=1,O572+ROW()*0.000000001,"")</f>
        <v/>
      </c>
      <c r="T572" s="39" t="str">
        <f>IF(O572&gt;0,INDEX(Calc!$B$4:$B$11,MATCH(MAX(G572:N572),G572:N572,0)),"-")</f>
        <v>Paddy Straw</v>
      </c>
    </row>
    <row r="573" spans="1:20">
      <c r="A573" s="39">
        <v>570</v>
      </c>
      <c r="B573" s="39" t="s">
        <v>637</v>
      </c>
      <c r="C573" s="39" t="s">
        <v>654</v>
      </c>
      <c r="D573" s="39" t="str">
        <f>B573&amp;"|"&amp;C573</f>
        <v>Tamil Nadu|Namakkal</v>
      </c>
      <c r="E573" s="40">
        <v>11.22</v>
      </c>
      <c r="F573" s="40">
        <v>78.17</v>
      </c>
      <c r="G573" s="41">
        <v>4.2</v>
      </c>
      <c r="H573" s="41">
        <v>0</v>
      </c>
      <c r="I573" s="41">
        <v>73.4863</v>
      </c>
      <c r="J573" s="41">
        <v>0</v>
      </c>
      <c r="K573" s="41">
        <v>229.42420000000001</v>
      </c>
      <c r="L573" s="41">
        <v>26.766200000000001</v>
      </c>
      <c r="M573" s="41">
        <v>0</v>
      </c>
      <c r="N573" s="41">
        <v>0</v>
      </c>
      <c r="O573" s="42">
        <f>SUM(G573:N573)</f>
        <v>333.87670000000003</v>
      </c>
      <c r="P573" s="42">
        <f>SUMPRODUCT(G573:N573,$G$2:$N$2)*1000/Assumptions!$C$15</f>
        <v>98.071943243988301</v>
      </c>
      <c r="Q573" s="43">
        <f>IF(ISNUMBER(Finder!$G$5),Finder!$D$8*Assumptions!$C$16*2*ASIN(SQRT(SIN(RADIANS(E573-Finder!$G$5)/2)^2+COS(RADIANS(Finder!$G$5))*COS(RADIANS(E573))*SIN(RADIANS(F573-Finder!$G$6)/2)^2)),"")</f>
        <v>2009.8672068018375</v>
      </c>
      <c r="R573" s="39">
        <f>IF(ISNUMBER(Q573),IF(Q573&lt;=Finder!$D$7,1,0),0)</f>
        <v>0</v>
      </c>
      <c r="S573" s="39" t="str">
        <f>IF(R573=1,O573+ROW()*0.000000001,"")</f>
        <v/>
      </c>
      <c r="T573" s="39" t="str">
        <f>IF(O573&gt;0,INDEX(Calc!$B$4:$B$11,MATCH(MAX(G573:N573),G573:N573,0)),"-")</f>
        <v>Cane Trash</v>
      </c>
    </row>
    <row r="574" spans="1:20">
      <c r="A574" s="39">
        <v>571</v>
      </c>
      <c r="B574" s="39" t="s">
        <v>637</v>
      </c>
      <c r="C574" s="39" t="s">
        <v>655</v>
      </c>
      <c r="D574" s="39" t="str">
        <f>B574&amp;"|"&amp;C574</f>
        <v>Tamil Nadu|Perambalur</v>
      </c>
      <c r="E574" s="40">
        <v>11.23</v>
      </c>
      <c r="F574" s="40">
        <v>78.88</v>
      </c>
      <c r="G574" s="41">
        <v>2.94</v>
      </c>
      <c r="H574" s="41">
        <v>0</v>
      </c>
      <c r="I574" s="41">
        <v>624.30579999999998</v>
      </c>
      <c r="J574" s="41">
        <v>0</v>
      </c>
      <c r="K574" s="41">
        <v>72.497500000000002</v>
      </c>
      <c r="L574" s="41">
        <v>8.4580000000000002</v>
      </c>
      <c r="M574" s="41">
        <v>0</v>
      </c>
      <c r="N574" s="41">
        <v>0</v>
      </c>
      <c r="O574" s="42">
        <f>SUM(G574:N574)</f>
        <v>708.20130000000006</v>
      </c>
      <c r="P574" s="42">
        <f>SUMPRODUCT(G574:N574,$G$2:$N$2)*1000/Assumptions!$C$15</f>
        <v>208.40974952140763</v>
      </c>
      <c r="Q574" s="43">
        <f>IF(ISNUMBER(Finder!$G$5),Finder!$D$8*Assumptions!$C$16*2*ASIN(SQRT(SIN(RADIANS(E574-Finder!$G$5)/2)^2+COS(RADIANS(Finder!$G$5))*COS(RADIANS(E574))*SIN(RADIANS(F574-Finder!$G$6)/2)^2)),"")</f>
        <v>2019.4086003728551</v>
      </c>
      <c r="R574" s="39">
        <f>IF(ISNUMBER(Q574),IF(Q574&lt;=Finder!$D$7,1,0),0)</f>
        <v>0</v>
      </c>
      <c r="S574" s="39" t="str">
        <f>IF(R574=1,O574+ROW()*0.000000001,"")</f>
        <v/>
      </c>
      <c r="T574" s="39" t="str">
        <f>IF(O574&gt;0,INDEX(Calc!$B$4:$B$11,MATCH(MAX(G574:N574),G574:N574,0)),"-")</f>
        <v>Maize Stover</v>
      </c>
    </row>
    <row r="575" spans="1:20">
      <c r="A575" s="39">
        <v>572</v>
      </c>
      <c r="B575" s="39" t="s">
        <v>637</v>
      </c>
      <c r="C575" s="39" t="s">
        <v>656</v>
      </c>
      <c r="D575" s="39" t="str">
        <f>B575&amp;"|"&amp;C575</f>
        <v>Tamil Nadu|Pudukkottai</v>
      </c>
      <c r="E575" s="40">
        <v>10.38</v>
      </c>
      <c r="F575" s="40">
        <v>78.819999999999993</v>
      </c>
      <c r="G575" s="41">
        <v>36.96</v>
      </c>
      <c r="H575" s="41">
        <v>0</v>
      </c>
      <c r="I575" s="41">
        <v>15.576700000000001</v>
      </c>
      <c r="J575" s="41">
        <v>0</v>
      </c>
      <c r="K575" s="41">
        <v>38.763399999999997</v>
      </c>
      <c r="L575" s="41">
        <v>4.5224000000000002</v>
      </c>
      <c r="M575" s="41">
        <v>0</v>
      </c>
      <c r="N575" s="41">
        <v>0</v>
      </c>
      <c r="O575" s="42">
        <f>SUM(G575:N575)</f>
        <v>95.822500000000005</v>
      </c>
      <c r="P575" s="42">
        <f>SUMPRODUCT(G575:N575,$G$2:$N$2)*1000/Assumptions!$C$15</f>
        <v>30.787673073313783</v>
      </c>
      <c r="Q575" s="43">
        <f>IF(ISNUMBER(Finder!$G$5),Finder!$D$8*Assumptions!$C$16*2*ASIN(SQRT(SIN(RADIANS(E575-Finder!$G$5)/2)^2+COS(RADIANS(Finder!$G$5))*COS(RADIANS(E575))*SIN(RADIANS(F575-Finder!$G$6)/2)^2)),"")</f>
        <v>2111.8773996626728</v>
      </c>
      <c r="R575" s="39">
        <f>IF(ISNUMBER(Q575),IF(Q575&lt;=Finder!$D$7,1,0),0)</f>
        <v>0</v>
      </c>
      <c r="S575" s="39" t="str">
        <f>IF(R575=1,O575+ROW()*0.000000001,"")</f>
        <v/>
      </c>
      <c r="T575" s="39" t="str">
        <f>IF(O575&gt;0,INDEX(Calc!$B$4:$B$11,MATCH(MAX(G575:N575),G575:N575,0)),"-")</f>
        <v>Cane Trash</v>
      </c>
    </row>
    <row r="576" spans="1:20">
      <c r="A576" s="39">
        <v>573</v>
      </c>
      <c r="B576" s="39" t="s">
        <v>637</v>
      </c>
      <c r="C576" s="39" t="s">
        <v>657</v>
      </c>
      <c r="D576" s="39" t="str">
        <f>B576&amp;"|"&amp;C576</f>
        <v>Tamil Nadu|Ramanathapuram</v>
      </c>
      <c r="E576" s="40">
        <v>9.3699999999999992</v>
      </c>
      <c r="F576" s="40">
        <v>78.83</v>
      </c>
      <c r="G576" s="41">
        <v>52.92</v>
      </c>
      <c r="H576" s="41">
        <v>0</v>
      </c>
      <c r="I576" s="41">
        <v>2.9799000000000002</v>
      </c>
      <c r="J576" s="41">
        <v>0</v>
      </c>
      <c r="K576" s="41">
        <v>2.9173</v>
      </c>
      <c r="L576" s="41">
        <v>0.34029999999999999</v>
      </c>
      <c r="M576" s="41">
        <v>0</v>
      </c>
      <c r="N576" s="41">
        <v>0</v>
      </c>
      <c r="O576" s="42">
        <f>SUM(G576:N576)</f>
        <v>59.157499999999999</v>
      </c>
      <c r="P576" s="42">
        <f>SUMPRODUCT(G576:N576,$G$2:$N$2)*1000/Assumptions!$C$15</f>
        <v>21.227265714076246</v>
      </c>
      <c r="Q576" s="43">
        <f>IF(ISNUMBER(Finder!$G$5),Finder!$D$8*Assumptions!$C$16*2*ASIN(SQRT(SIN(RADIANS(E576-Finder!$G$5)/2)^2+COS(RADIANS(Finder!$G$5))*COS(RADIANS(E576))*SIN(RADIANS(F576-Finder!$G$6)/2)^2)),"")</f>
        <v>2223.2046875541773</v>
      </c>
      <c r="R576" s="39">
        <f>IF(ISNUMBER(Q576),IF(Q576&lt;=Finder!$D$7,1,0),0)</f>
        <v>0</v>
      </c>
      <c r="S576" s="39" t="str">
        <f>IF(R576=1,O576+ROW()*0.000000001,"")</f>
        <v/>
      </c>
      <c r="T576" s="39" t="str">
        <f>IF(O576&gt;0,INDEX(Calc!$B$4:$B$11,MATCH(MAX(G576:N576),G576:N576,0)),"-")</f>
        <v>Paddy Straw</v>
      </c>
    </row>
    <row r="577" spans="1:20">
      <c r="A577" s="39">
        <v>574</v>
      </c>
      <c r="B577" s="39" t="s">
        <v>637</v>
      </c>
      <c r="C577" s="39" t="s">
        <v>658</v>
      </c>
      <c r="D577" s="39" t="str">
        <f>B577&amp;"|"&amp;C577</f>
        <v>Tamil Nadu|Ranipet</v>
      </c>
      <c r="E577" s="40">
        <v>12.93</v>
      </c>
      <c r="F577" s="40">
        <v>79.33</v>
      </c>
      <c r="G577" s="41">
        <v>23.94</v>
      </c>
      <c r="H577" s="41">
        <v>0</v>
      </c>
      <c r="I577" s="41">
        <v>1.47E-2</v>
      </c>
      <c r="J577" s="41">
        <v>0</v>
      </c>
      <c r="K577" s="41">
        <v>24.039400000000001</v>
      </c>
      <c r="L577" s="41">
        <v>2.8046000000000002</v>
      </c>
      <c r="M577" s="41">
        <v>0</v>
      </c>
      <c r="N577" s="41">
        <v>0</v>
      </c>
      <c r="O577" s="42">
        <f>SUM(G577:N577)</f>
        <v>50.798700000000004</v>
      </c>
      <c r="P577" s="42">
        <f>SUMPRODUCT(G577:N577,$G$2:$N$2)*1000/Assumptions!$C$15</f>
        <v>16.629239157184752</v>
      </c>
      <c r="Q577" s="43">
        <f>IF(ISNUMBER(Finder!$G$5),Finder!$D$8*Assumptions!$C$16*2*ASIN(SQRT(SIN(RADIANS(E577-Finder!$G$5)/2)^2+COS(RADIANS(Finder!$G$5))*COS(RADIANS(E577))*SIN(RADIANS(F577-Finder!$G$6)/2)^2)),"")</f>
        <v>1841.7130605823088</v>
      </c>
      <c r="R577" s="39">
        <f>IF(ISNUMBER(Q577),IF(Q577&lt;=Finder!$D$7,1,0),0)</f>
        <v>0</v>
      </c>
      <c r="S577" s="39" t="str">
        <f>IF(R577=1,O577+ROW()*0.000000001,"")</f>
        <v/>
      </c>
      <c r="T577" s="39" t="str">
        <f>IF(O577&gt;0,INDEX(Calc!$B$4:$B$11,MATCH(MAX(G577:N577),G577:N577,0)),"-")</f>
        <v>Cane Trash</v>
      </c>
    </row>
    <row r="578" spans="1:20">
      <c r="A578" s="39">
        <v>575</v>
      </c>
      <c r="B578" s="39" t="s">
        <v>637</v>
      </c>
      <c r="C578" s="39" t="s">
        <v>659</v>
      </c>
      <c r="D578" s="39" t="str">
        <f>B578&amp;"|"&amp;C578</f>
        <v>Tamil Nadu|Salem</v>
      </c>
      <c r="E578" s="40">
        <v>11.66</v>
      </c>
      <c r="F578" s="40">
        <v>78.150000000000006</v>
      </c>
      <c r="G578" s="41">
        <v>8.82</v>
      </c>
      <c r="H578" s="41">
        <v>0</v>
      </c>
      <c r="I578" s="41">
        <v>416.84160000000003</v>
      </c>
      <c r="J578" s="41">
        <v>0</v>
      </c>
      <c r="K578" s="41">
        <v>125.6722</v>
      </c>
      <c r="L578" s="41">
        <v>14.661799999999999</v>
      </c>
      <c r="M578" s="41">
        <v>0</v>
      </c>
      <c r="N578" s="41">
        <v>0</v>
      </c>
      <c r="O578" s="42">
        <f>SUM(G578:N578)</f>
        <v>565.99559999999997</v>
      </c>
      <c r="P578" s="42">
        <f>SUMPRODUCT(G578:N578,$G$2:$N$2)*1000/Assumptions!$C$15</f>
        <v>166.89608254486808</v>
      </c>
      <c r="Q578" s="43">
        <f>IF(ISNUMBER(Finder!$G$5),Finder!$D$8*Assumptions!$C$16*2*ASIN(SQRT(SIN(RADIANS(E578-Finder!$G$5)/2)^2+COS(RADIANS(Finder!$G$5))*COS(RADIANS(E578))*SIN(RADIANS(F578-Finder!$G$6)/2)^2)),"")</f>
        <v>1961.0381913121009</v>
      </c>
      <c r="R578" s="39">
        <f>IF(ISNUMBER(Q578),IF(Q578&lt;=Finder!$D$7,1,0),0)</f>
        <v>0</v>
      </c>
      <c r="S578" s="39" t="str">
        <f>IF(R578=1,O578+ROW()*0.000000001,"")</f>
        <v/>
      </c>
      <c r="T578" s="39" t="str">
        <f>IF(O578&gt;0,INDEX(Calc!$B$4:$B$11,MATCH(MAX(G578:N578),G578:N578,0)),"-")</f>
        <v>Maize Stover</v>
      </c>
    </row>
    <row r="579" spans="1:20">
      <c r="A579" s="39">
        <v>576</v>
      </c>
      <c r="B579" s="39" t="s">
        <v>637</v>
      </c>
      <c r="C579" s="39" t="s">
        <v>660</v>
      </c>
      <c r="D579" s="39" t="str">
        <f>B579&amp;"|"&amp;C579</f>
        <v>Tamil Nadu|Sivaganga</v>
      </c>
      <c r="E579" s="40">
        <v>9.85</v>
      </c>
      <c r="F579" s="40">
        <v>78.48</v>
      </c>
      <c r="G579" s="41">
        <v>30.66</v>
      </c>
      <c r="H579" s="41">
        <v>0</v>
      </c>
      <c r="I579" s="41">
        <v>0.28139999999999998</v>
      </c>
      <c r="J579" s="41">
        <v>0</v>
      </c>
      <c r="K579" s="41">
        <v>51.505200000000002</v>
      </c>
      <c r="L579" s="41">
        <v>6.0088999999999997</v>
      </c>
      <c r="M579" s="41">
        <v>0</v>
      </c>
      <c r="N579" s="41">
        <v>0</v>
      </c>
      <c r="O579" s="42">
        <f>SUM(G579:N579)</f>
        <v>88.455500000000001</v>
      </c>
      <c r="P579" s="42">
        <f>SUMPRODUCT(G579:N579,$G$2:$N$2)*1000/Assumptions!$C$15</f>
        <v>28.139367641935479</v>
      </c>
      <c r="Q579" s="43">
        <f>IF(ISNUMBER(Finder!$G$5),Finder!$D$8*Assumptions!$C$16*2*ASIN(SQRT(SIN(RADIANS(E579-Finder!$G$5)/2)^2+COS(RADIANS(Finder!$G$5))*COS(RADIANS(E579))*SIN(RADIANS(F579-Finder!$G$6)/2)^2)),"")</f>
        <v>2165.2202379387045</v>
      </c>
      <c r="R579" s="39">
        <f>IF(ISNUMBER(Q579),IF(Q579&lt;=Finder!$D$7,1,0),0)</f>
        <v>0</v>
      </c>
      <c r="S579" s="39" t="str">
        <f>IF(R579=1,O579+ROW()*0.000000001,"")</f>
        <v/>
      </c>
      <c r="T579" s="39" t="str">
        <f>IF(O579&gt;0,INDEX(Calc!$B$4:$B$11,MATCH(MAX(G579:N579),G579:N579,0)),"-")</f>
        <v>Cane Trash</v>
      </c>
    </row>
    <row r="580" spans="1:20">
      <c r="A580" s="39">
        <v>577</v>
      </c>
      <c r="B580" s="39" t="s">
        <v>637</v>
      </c>
      <c r="C580" s="39" t="s">
        <v>661</v>
      </c>
      <c r="D580" s="39" t="str">
        <f>B580&amp;"|"&amp;C580</f>
        <v>Tamil Nadu|Tenkasi</v>
      </c>
      <c r="E580" s="40">
        <v>8.9600000000000009</v>
      </c>
      <c r="F580" s="40">
        <v>77.3</v>
      </c>
      <c r="G580" s="41">
        <v>18.059999999999999</v>
      </c>
      <c r="H580" s="41">
        <v>0</v>
      </c>
      <c r="I580" s="41">
        <v>82.082700000000003</v>
      </c>
      <c r="J580" s="41">
        <v>0</v>
      </c>
      <c r="K580" s="41">
        <v>28.82</v>
      </c>
      <c r="L580" s="41">
        <v>3.3622999999999998</v>
      </c>
      <c r="M580" s="41">
        <v>0</v>
      </c>
      <c r="N580" s="41">
        <v>0</v>
      </c>
      <c r="O580" s="42">
        <f>SUM(G580:N580)</f>
        <v>132.32500000000002</v>
      </c>
      <c r="P580" s="42">
        <f>SUMPRODUCT(G580:N580,$G$2:$N$2)*1000/Assumptions!$C$15</f>
        <v>40.177822592668626</v>
      </c>
      <c r="Q580" s="43">
        <f>IF(ISNUMBER(Finder!$G$5),Finder!$D$8*Assumptions!$C$16*2*ASIN(SQRT(SIN(RADIANS(E580-Finder!$G$5)/2)^2+COS(RADIANS(Finder!$G$5))*COS(RADIANS(E580))*SIN(RADIANS(F580-Finder!$G$6)/2)^2)),"")</f>
        <v>2251.0723693825794</v>
      </c>
      <c r="R580" s="39">
        <f>IF(ISNUMBER(Q580),IF(Q580&lt;=Finder!$D$7,1,0),0)</f>
        <v>0</v>
      </c>
      <c r="S580" s="39" t="str">
        <f>IF(R580=1,O580+ROW()*0.000000001,"")</f>
        <v/>
      </c>
      <c r="T580" s="39" t="str">
        <f>IF(O580&gt;0,INDEX(Calc!$B$4:$B$11,MATCH(MAX(G580:N580),G580:N580,0)),"-")</f>
        <v>Maize Stover</v>
      </c>
    </row>
    <row r="581" spans="1:20">
      <c r="A581" s="39">
        <v>578</v>
      </c>
      <c r="B581" s="39" t="s">
        <v>637</v>
      </c>
      <c r="C581" s="39" t="s">
        <v>662</v>
      </c>
      <c r="D581" s="39" t="str">
        <f>B581&amp;"|"&amp;C581</f>
        <v>Tamil Nadu|Thanjavur</v>
      </c>
      <c r="E581" s="40">
        <v>10.79</v>
      </c>
      <c r="F581" s="40">
        <v>79.14</v>
      </c>
      <c r="G581" s="41">
        <v>99.12</v>
      </c>
      <c r="H581" s="41">
        <v>0</v>
      </c>
      <c r="I581" s="41">
        <v>7.7405999999999997</v>
      </c>
      <c r="J581" s="41">
        <v>0</v>
      </c>
      <c r="K581" s="41">
        <v>79.875500000000002</v>
      </c>
      <c r="L581" s="41">
        <v>9.3187999999999995</v>
      </c>
      <c r="M581" s="41">
        <v>0</v>
      </c>
      <c r="N581" s="41">
        <v>0</v>
      </c>
      <c r="O581" s="42">
        <f>SUM(G581:N581)</f>
        <v>196.05490000000003</v>
      </c>
      <c r="P581" s="42">
        <f>SUMPRODUCT(G581:N581,$G$2:$N$2)*1000/Assumptions!$C$15</f>
        <v>64.691814434017601</v>
      </c>
      <c r="Q581" s="43">
        <f>IF(ISNUMBER(Finder!$G$5),Finder!$D$8*Assumptions!$C$16*2*ASIN(SQRT(SIN(RADIANS(E581-Finder!$G$5)/2)^2+COS(RADIANS(Finder!$G$5))*COS(RADIANS(E581))*SIN(RADIANS(F581-Finder!$G$6)/2)^2)),"")</f>
        <v>2072.2195943254774</v>
      </c>
      <c r="R581" s="39">
        <f>IF(ISNUMBER(Q581),IF(Q581&lt;=Finder!$D$7,1,0),0)</f>
        <v>0</v>
      </c>
      <c r="S581" s="39" t="str">
        <f>IF(R581=1,O581+ROW()*0.000000001,"")</f>
        <v/>
      </c>
      <c r="T581" s="39" t="str">
        <f>IF(O581&gt;0,INDEX(Calc!$B$4:$B$11,MATCH(MAX(G581:N581),G581:N581,0)),"-")</f>
        <v>Paddy Straw</v>
      </c>
    </row>
    <row r="582" spans="1:20">
      <c r="A582" s="39">
        <v>579</v>
      </c>
      <c r="B582" s="39" t="s">
        <v>637</v>
      </c>
      <c r="C582" s="39" t="s">
        <v>663</v>
      </c>
      <c r="D582" s="39" t="str">
        <f>B582&amp;"|"&amp;C582</f>
        <v>Tamil Nadu|The Nilgiris</v>
      </c>
      <c r="E582" s="40">
        <v>11.41</v>
      </c>
      <c r="F582" s="40">
        <v>76.7</v>
      </c>
      <c r="G582" s="41">
        <v>0</v>
      </c>
      <c r="H582" s="41">
        <v>0</v>
      </c>
      <c r="I582" s="41">
        <v>2.8299999999999999E-2</v>
      </c>
      <c r="J582" s="41">
        <v>0</v>
      </c>
      <c r="K582" s="41">
        <v>0</v>
      </c>
      <c r="L582" s="41">
        <v>0</v>
      </c>
      <c r="M582" s="41">
        <v>0</v>
      </c>
      <c r="N582" s="41">
        <v>0</v>
      </c>
      <c r="O582" s="42">
        <f>SUM(G582:N582)</f>
        <v>2.8299999999999999E-2</v>
      </c>
      <c r="P582" s="42">
        <f>SUMPRODUCT(G582:N582,$G$2:$N$2)*1000/Assumptions!$C$15</f>
        <v>8.3253454545454547E-3</v>
      </c>
      <c r="Q582" s="43">
        <f>IF(ISNUMBER(Finder!$G$5),Finder!$D$8*Assumptions!$C$16*2*ASIN(SQRT(SIN(RADIANS(E582-Finder!$G$5)/2)^2+COS(RADIANS(Finder!$G$5))*COS(RADIANS(E582))*SIN(RADIANS(F582-Finder!$G$6)/2)^2)),"")</f>
        <v>1975.2146360493402</v>
      </c>
      <c r="R582" s="39">
        <f>IF(ISNUMBER(Q582),IF(Q582&lt;=Finder!$D$7,1,0),0)</f>
        <v>0</v>
      </c>
      <c r="S582" s="39" t="str">
        <f>IF(R582=1,O582+ROW()*0.000000001,"")</f>
        <v/>
      </c>
      <c r="T582" s="39" t="str">
        <f>IF(O582&gt;0,INDEX(Calc!$B$4:$B$11,MATCH(MAX(G582:N582),G582:N582,0)),"-")</f>
        <v>Maize Stover</v>
      </c>
    </row>
    <row r="583" spans="1:20">
      <c r="A583" s="39">
        <v>580</v>
      </c>
      <c r="B583" s="39" t="s">
        <v>637</v>
      </c>
      <c r="C583" s="39" t="s">
        <v>664</v>
      </c>
      <c r="D583" s="39" t="str">
        <f>B583&amp;"|"&amp;C583</f>
        <v>Tamil Nadu|Theni</v>
      </c>
      <c r="E583" s="40">
        <v>10.01</v>
      </c>
      <c r="F583" s="40">
        <v>77.48</v>
      </c>
      <c r="G583" s="41">
        <v>6.72</v>
      </c>
      <c r="H583" s="41">
        <v>0</v>
      </c>
      <c r="I583" s="41">
        <v>39.0747</v>
      </c>
      <c r="J583" s="41">
        <v>0</v>
      </c>
      <c r="K583" s="41">
        <v>46.348599999999998</v>
      </c>
      <c r="L583" s="41">
        <v>5.4073000000000002</v>
      </c>
      <c r="M583" s="41">
        <v>0</v>
      </c>
      <c r="N583" s="41">
        <v>0</v>
      </c>
      <c r="O583" s="42">
        <f>SUM(G583:N583)</f>
        <v>97.550600000000003</v>
      </c>
      <c r="P583" s="42">
        <f>SUMPRODUCT(G583:N583,$G$2:$N$2)*1000/Assumptions!$C$15</f>
        <v>29.092553834310859</v>
      </c>
      <c r="Q583" s="43">
        <f>IF(ISNUMBER(Finder!$G$5),Finder!$D$8*Assumptions!$C$16*2*ASIN(SQRT(SIN(RADIANS(E583-Finder!$G$5)/2)^2+COS(RADIANS(Finder!$G$5))*COS(RADIANS(E583))*SIN(RADIANS(F583-Finder!$G$6)/2)^2)),"")</f>
        <v>2136.1407193288001</v>
      </c>
      <c r="R583" s="39">
        <f>IF(ISNUMBER(Q583),IF(Q583&lt;=Finder!$D$7,1,0),0)</f>
        <v>0</v>
      </c>
      <c r="S583" s="39" t="str">
        <f>IF(R583=1,O583+ROW()*0.000000001,"")</f>
        <v/>
      </c>
      <c r="T583" s="39" t="str">
        <f>IF(O583&gt;0,INDEX(Calc!$B$4:$B$11,MATCH(MAX(G583:N583),G583:N583,0)),"-")</f>
        <v>Cane Trash</v>
      </c>
    </row>
    <row r="584" spans="1:20">
      <c r="A584" s="39">
        <v>581</v>
      </c>
      <c r="B584" s="39" t="s">
        <v>637</v>
      </c>
      <c r="C584" s="39" t="s">
        <v>665</v>
      </c>
      <c r="D584" s="39" t="str">
        <f>B584&amp;"|"&amp;C584</f>
        <v>Tamil Nadu|Thiruvallur</v>
      </c>
      <c r="E584" s="40">
        <v>13.14</v>
      </c>
      <c r="F584" s="40">
        <v>79.91</v>
      </c>
      <c r="G584" s="41">
        <v>45.36</v>
      </c>
      <c r="H584" s="41">
        <v>0</v>
      </c>
      <c r="I584" s="41">
        <v>0.1197</v>
      </c>
      <c r="J584" s="41">
        <v>0</v>
      </c>
      <c r="K584" s="41">
        <v>88.192400000000006</v>
      </c>
      <c r="L584" s="41">
        <v>10.289099999999999</v>
      </c>
      <c r="M584" s="41">
        <v>0</v>
      </c>
      <c r="N584" s="41">
        <v>0</v>
      </c>
      <c r="O584" s="42">
        <f>SUM(G584:N584)</f>
        <v>143.96119999999999</v>
      </c>
      <c r="P584" s="42">
        <f>SUMPRODUCT(G584:N584,$G$2:$N$2)*1000/Assumptions!$C$15</f>
        <v>45.459651372727279</v>
      </c>
      <c r="Q584" s="43">
        <f>IF(ISNUMBER(Finder!$G$5),Finder!$D$8*Assumptions!$C$16*2*ASIN(SQRT(SIN(RADIANS(E584-Finder!$G$5)/2)^2+COS(RADIANS(Finder!$G$5))*COS(RADIANS(E584))*SIN(RADIANS(F584-Finder!$G$6)/2)^2)),"")</f>
        <v>1832.0065751224593</v>
      </c>
      <c r="R584" s="39">
        <f>IF(ISNUMBER(Q584),IF(Q584&lt;=Finder!$D$7,1,0),0)</f>
        <v>0</v>
      </c>
      <c r="S584" s="39" t="str">
        <f>IF(R584=1,O584+ROW()*0.000000001,"")</f>
        <v/>
      </c>
      <c r="T584" s="39" t="str">
        <f>IF(O584&gt;0,INDEX(Calc!$B$4:$B$11,MATCH(MAX(G584:N584),G584:N584,0)),"-")</f>
        <v>Cane Trash</v>
      </c>
    </row>
    <row r="585" spans="1:20">
      <c r="A585" s="39">
        <v>582</v>
      </c>
      <c r="B585" s="39" t="s">
        <v>637</v>
      </c>
      <c r="C585" s="39" t="s">
        <v>666</v>
      </c>
      <c r="D585" s="39" t="str">
        <f>B585&amp;"|"&amp;C585</f>
        <v>Tamil Nadu|Thiruvarur</v>
      </c>
      <c r="E585" s="40">
        <v>10.77</v>
      </c>
      <c r="F585" s="40">
        <v>79.64</v>
      </c>
      <c r="G585" s="41">
        <v>85.68</v>
      </c>
      <c r="H585" s="41">
        <v>0</v>
      </c>
      <c r="I585" s="41">
        <v>5.2999999999999999E-2</v>
      </c>
      <c r="J585" s="41">
        <v>0</v>
      </c>
      <c r="K585" s="41">
        <v>2.2995000000000001</v>
      </c>
      <c r="L585" s="41">
        <v>0.26829999999999998</v>
      </c>
      <c r="M585" s="41">
        <v>0</v>
      </c>
      <c r="N585" s="41">
        <v>0</v>
      </c>
      <c r="O585" s="42">
        <f>SUM(G585:N585)</f>
        <v>88.300799999999995</v>
      </c>
      <c r="P585" s="42">
        <f>SUMPRODUCT(G585:N585,$G$2:$N$2)*1000/Assumptions!$C$15</f>
        <v>32.17282060087976</v>
      </c>
      <c r="Q585" s="43">
        <f>IF(ISNUMBER(Finder!$G$5),Finder!$D$8*Assumptions!$C$16*2*ASIN(SQRT(SIN(RADIANS(E585-Finder!$G$5)/2)^2+COS(RADIANS(Finder!$G$5))*COS(RADIANS(E585))*SIN(RADIANS(F585-Finder!$G$6)/2)^2)),"")</f>
        <v>2083.9378231547257</v>
      </c>
      <c r="R585" s="39">
        <f>IF(ISNUMBER(Q585),IF(Q585&lt;=Finder!$D$7,1,0),0)</f>
        <v>0</v>
      </c>
      <c r="S585" s="39" t="str">
        <f>IF(R585=1,O585+ROW()*0.000000001,"")</f>
        <v/>
      </c>
      <c r="T585" s="39" t="str">
        <f>IF(O585&gt;0,INDEX(Calc!$B$4:$B$11,MATCH(MAX(G585:N585),G585:N585,0)),"-")</f>
        <v>Paddy Straw</v>
      </c>
    </row>
    <row r="586" spans="1:20">
      <c r="A586" s="39">
        <v>583</v>
      </c>
      <c r="B586" s="39" t="s">
        <v>637</v>
      </c>
      <c r="C586" s="39" t="s">
        <v>667</v>
      </c>
      <c r="D586" s="39" t="str">
        <f>B586&amp;"|"&amp;C586</f>
        <v>Tamil Nadu|Thoothukkudi</v>
      </c>
      <c r="E586" s="40">
        <v>8.76</v>
      </c>
      <c r="F586" s="40">
        <v>78.13</v>
      </c>
      <c r="G586" s="41">
        <v>4.2</v>
      </c>
      <c r="H586" s="41">
        <v>0</v>
      </c>
      <c r="I586" s="41">
        <v>185.40479999999999</v>
      </c>
      <c r="J586" s="41">
        <v>0</v>
      </c>
      <c r="K586" s="41">
        <v>7.8100000000000003E-2</v>
      </c>
      <c r="L586" s="41">
        <v>9.1000000000000004E-3</v>
      </c>
      <c r="M586" s="41">
        <v>0</v>
      </c>
      <c r="N586" s="41">
        <v>0</v>
      </c>
      <c r="O586" s="42">
        <f>SUM(G586:N586)</f>
        <v>189.69199999999998</v>
      </c>
      <c r="P586" s="42">
        <f>SUMPRODUCT(G586:N586,$G$2:$N$2)*1000/Assumptions!$C$15</f>
        <v>56.107749696480937</v>
      </c>
      <c r="Q586" s="43">
        <f>IF(ISNUMBER(Finder!$G$5),Finder!$D$8*Assumptions!$C$16*2*ASIN(SQRT(SIN(RADIANS(E586-Finder!$G$5)/2)^2+COS(RADIANS(Finder!$G$5))*COS(RADIANS(E586))*SIN(RADIANS(F586-Finder!$G$6)/2)^2)),"")</f>
        <v>2281.1842823471457</v>
      </c>
      <c r="R586" s="39">
        <f>IF(ISNUMBER(Q586),IF(Q586&lt;=Finder!$D$7,1,0),0)</f>
        <v>0</v>
      </c>
      <c r="S586" s="39" t="str">
        <f>IF(R586=1,O586+ROW()*0.000000001,"")</f>
        <v/>
      </c>
      <c r="T586" s="39" t="str">
        <f>IF(O586&gt;0,INDEX(Calc!$B$4:$B$11,MATCH(MAX(G586:N586),G586:N586,0)),"-")</f>
        <v>Maize Stover</v>
      </c>
    </row>
    <row r="587" spans="1:20">
      <c r="A587" s="39">
        <v>584</v>
      </c>
      <c r="B587" s="39" t="s">
        <v>637</v>
      </c>
      <c r="C587" s="39" t="s">
        <v>668</v>
      </c>
      <c r="D587" s="39" t="str">
        <f>B587&amp;"|"&amp;C587</f>
        <v>Tamil Nadu|Tiruchirappalli</v>
      </c>
      <c r="E587" s="40">
        <v>10.79</v>
      </c>
      <c r="F587" s="40">
        <v>78.7</v>
      </c>
      <c r="G587" s="41">
        <v>26.88</v>
      </c>
      <c r="H587" s="41">
        <v>0</v>
      </c>
      <c r="I587" s="41">
        <v>159.90029999999999</v>
      </c>
      <c r="J587" s="41">
        <v>0</v>
      </c>
      <c r="K587" s="41">
        <v>21.9802</v>
      </c>
      <c r="L587" s="41">
        <v>2.5644</v>
      </c>
      <c r="M587" s="41">
        <v>0</v>
      </c>
      <c r="N587" s="41">
        <v>0</v>
      </c>
      <c r="O587" s="42">
        <f>SUM(G587:N587)</f>
        <v>211.32489999999999</v>
      </c>
      <c r="P587" s="42">
        <f>SUMPRODUCT(G587:N587,$G$2:$N$2)*1000/Assumptions!$C$15</f>
        <v>64.069957609384161</v>
      </c>
      <c r="Q587" s="43">
        <f>IF(ISNUMBER(Finder!$G$5),Finder!$D$8*Assumptions!$C$16*2*ASIN(SQRT(SIN(RADIANS(E587-Finder!$G$5)/2)^2+COS(RADIANS(Finder!$G$5))*COS(RADIANS(E587))*SIN(RADIANS(F587-Finder!$G$6)/2)^2)),"")</f>
        <v>2064.874831674977</v>
      </c>
      <c r="R587" s="39">
        <f>IF(ISNUMBER(Q587),IF(Q587&lt;=Finder!$D$7,1,0),0)</f>
        <v>0</v>
      </c>
      <c r="S587" s="39" t="str">
        <f>IF(R587=1,O587+ROW()*0.000000001,"")</f>
        <v/>
      </c>
      <c r="T587" s="39" t="str">
        <f>IF(O587&gt;0,INDEX(Calc!$B$4:$B$11,MATCH(MAX(G587:N587),G587:N587,0)),"-")</f>
        <v>Maize Stover</v>
      </c>
    </row>
    <row r="588" spans="1:20">
      <c r="A588" s="39">
        <v>585</v>
      </c>
      <c r="B588" s="39" t="s">
        <v>637</v>
      </c>
      <c r="C588" s="39" t="s">
        <v>669</v>
      </c>
      <c r="D588" s="39" t="str">
        <f>B588&amp;"|"&amp;C588</f>
        <v>Tamil Nadu|Tirunelveli</v>
      </c>
      <c r="E588" s="40">
        <v>8.7100000000000009</v>
      </c>
      <c r="F588" s="40">
        <v>77.760000000000005</v>
      </c>
      <c r="G588" s="41">
        <v>18.48</v>
      </c>
      <c r="H588" s="41">
        <v>0</v>
      </c>
      <c r="I588" s="41">
        <v>3.4533999999999998</v>
      </c>
      <c r="J588" s="41">
        <v>0</v>
      </c>
      <c r="K588" s="41">
        <v>0.49969999999999998</v>
      </c>
      <c r="L588" s="41">
        <v>5.8299999999999998E-2</v>
      </c>
      <c r="M588" s="41">
        <v>0</v>
      </c>
      <c r="N588" s="41">
        <v>0</v>
      </c>
      <c r="O588" s="42">
        <f>SUM(G588:N588)</f>
        <v>22.491399999999999</v>
      </c>
      <c r="P588" s="42">
        <f>SUMPRODUCT(G588:N588,$G$2:$N$2)*1000/Assumptions!$C$15</f>
        <v>7.9530177304985346</v>
      </c>
      <c r="Q588" s="43">
        <f>IF(ISNUMBER(Finder!$G$5),Finder!$D$8*Assumptions!$C$16*2*ASIN(SQRT(SIN(RADIANS(E588-Finder!$G$5)/2)^2+COS(RADIANS(Finder!$G$5))*COS(RADIANS(E588))*SIN(RADIANS(F588-Finder!$G$6)/2)^2)),"")</f>
        <v>2282.7847634497612</v>
      </c>
      <c r="R588" s="39">
        <f>IF(ISNUMBER(Q588),IF(Q588&lt;=Finder!$D$7,1,0),0)</f>
        <v>0</v>
      </c>
      <c r="S588" s="39" t="str">
        <f>IF(R588=1,O588+ROW()*0.000000001,"")</f>
        <v/>
      </c>
      <c r="T588" s="39" t="str">
        <f>IF(O588&gt;0,INDEX(Calc!$B$4:$B$11,MATCH(MAX(G588:N588),G588:N588,0)),"-")</f>
        <v>Paddy Straw</v>
      </c>
    </row>
    <row r="589" spans="1:20">
      <c r="A589" s="39">
        <v>586</v>
      </c>
      <c r="B589" s="39" t="s">
        <v>637</v>
      </c>
      <c r="C589" s="39" t="s">
        <v>670</v>
      </c>
      <c r="D589" s="39" t="str">
        <f>B589&amp;"|"&amp;C589</f>
        <v>Tamil Nadu|Tirupathur</v>
      </c>
      <c r="E589" s="40">
        <v>12.5</v>
      </c>
      <c r="F589" s="40">
        <v>78.569999999999993</v>
      </c>
      <c r="G589" s="41">
        <v>3.78</v>
      </c>
      <c r="H589" s="41">
        <v>0</v>
      </c>
      <c r="I589" s="41">
        <v>8.3412000000000006</v>
      </c>
      <c r="J589" s="41">
        <v>0</v>
      </c>
      <c r="K589" s="41">
        <v>15.1319</v>
      </c>
      <c r="L589" s="41">
        <v>1.7654000000000001</v>
      </c>
      <c r="M589" s="41">
        <v>0</v>
      </c>
      <c r="N589" s="41">
        <v>0</v>
      </c>
      <c r="O589" s="42">
        <f>SUM(G589:N589)</f>
        <v>29.0185</v>
      </c>
      <c r="P589" s="42">
        <f>SUMPRODUCT(G589:N589,$G$2:$N$2)*1000/Assumptions!$C$15</f>
        <v>8.7804378680351896</v>
      </c>
      <c r="Q589" s="43">
        <f>IF(ISNUMBER(Finder!$G$5),Finder!$D$8*Assumptions!$C$16*2*ASIN(SQRT(SIN(RADIANS(E589-Finder!$G$5)/2)^2+COS(RADIANS(Finder!$G$5))*COS(RADIANS(E589))*SIN(RADIANS(F589-Finder!$G$6)/2)^2)),"")</f>
        <v>1874.7028318173718</v>
      </c>
      <c r="R589" s="39">
        <f>IF(ISNUMBER(Q589),IF(Q589&lt;=Finder!$D$7,1,0),0)</f>
        <v>0</v>
      </c>
      <c r="S589" s="39" t="str">
        <f>IF(R589=1,O589+ROW()*0.000000001,"")</f>
        <v/>
      </c>
      <c r="T589" s="39" t="str">
        <f>IF(O589&gt;0,INDEX(Calc!$B$4:$B$11,MATCH(MAX(G589:N589),G589:N589,0)),"-")</f>
        <v>Cane Trash</v>
      </c>
    </row>
    <row r="590" spans="1:20">
      <c r="A590" s="39">
        <v>587</v>
      </c>
      <c r="B590" s="39" t="s">
        <v>637</v>
      </c>
      <c r="C590" s="39" t="s">
        <v>671</v>
      </c>
      <c r="D590" s="39" t="str">
        <f>B590&amp;"|"&amp;C590</f>
        <v>Tamil Nadu|Tiruppur</v>
      </c>
      <c r="E590" s="40">
        <v>11.11</v>
      </c>
      <c r="F590" s="40">
        <v>77.34</v>
      </c>
      <c r="G590" s="41">
        <v>3.78</v>
      </c>
      <c r="H590" s="41">
        <v>0</v>
      </c>
      <c r="I590" s="41">
        <v>196.3133</v>
      </c>
      <c r="J590" s="41">
        <v>0</v>
      </c>
      <c r="K590" s="41">
        <v>76.284400000000005</v>
      </c>
      <c r="L590" s="41">
        <v>8.8998000000000008</v>
      </c>
      <c r="M590" s="41">
        <v>0</v>
      </c>
      <c r="N590" s="41">
        <v>0</v>
      </c>
      <c r="O590" s="42">
        <f>SUM(G590:N590)</f>
        <v>285.27750000000003</v>
      </c>
      <c r="P590" s="42">
        <f>SUMPRODUCT(G590:N590,$G$2:$N$2)*1000/Assumptions!$C$15</f>
        <v>84.046582321994123</v>
      </c>
      <c r="Q590" s="43">
        <f>IF(ISNUMBER(Finder!$G$5),Finder!$D$8*Assumptions!$C$16*2*ASIN(SQRT(SIN(RADIANS(E590-Finder!$G$5)/2)^2+COS(RADIANS(Finder!$G$5))*COS(RADIANS(E590))*SIN(RADIANS(F590-Finder!$G$6)/2)^2)),"")</f>
        <v>2012.9913180068313</v>
      </c>
      <c r="R590" s="39">
        <f>IF(ISNUMBER(Q590),IF(Q590&lt;=Finder!$D$7,1,0),0)</f>
        <v>0</v>
      </c>
      <c r="S590" s="39" t="str">
        <f>IF(R590=1,O590+ROW()*0.000000001,"")</f>
        <v/>
      </c>
      <c r="T590" s="39" t="str">
        <f>IF(O590&gt;0,INDEX(Calc!$B$4:$B$11,MATCH(MAX(G590:N590),G590:N590,0)),"-")</f>
        <v>Maize Stover</v>
      </c>
    </row>
    <row r="591" spans="1:20">
      <c r="A591" s="39">
        <v>588</v>
      </c>
      <c r="B591" s="39" t="s">
        <v>637</v>
      </c>
      <c r="C591" s="39" t="s">
        <v>672</v>
      </c>
      <c r="D591" s="39" t="str">
        <f>B591&amp;"|"&amp;C591</f>
        <v>Tamil Nadu|Tiruvannamalai</v>
      </c>
      <c r="E591" s="40">
        <v>12.23</v>
      </c>
      <c r="F591" s="40">
        <v>79.069999999999993</v>
      </c>
      <c r="G591" s="41">
        <v>76.02</v>
      </c>
      <c r="H591" s="41">
        <v>0</v>
      </c>
      <c r="I591" s="41">
        <v>18.4054</v>
      </c>
      <c r="J591" s="41">
        <v>0</v>
      </c>
      <c r="K591" s="41">
        <v>309.48340000000002</v>
      </c>
      <c r="L591" s="41">
        <v>36.106400000000001</v>
      </c>
      <c r="M591" s="41">
        <v>0</v>
      </c>
      <c r="N591" s="41">
        <v>0</v>
      </c>
      <c r="O591" s="42">
        <f>SUM(G591:N591)</f>
        <v>440.01520000000005</v>
      </c>
      <c r="P591" s="42">
        <f>SUMPRODUCT(G591:N591,$G$2:$N$2)*1000/Assumptions!$C$15</f>
        <v>134.33586345806452</v>
      </c>
      <c r="Q591" s="43">
        <f>IF(ISNUMBER(Finder!$G$5),Finder!$D$8*Assumptions!$C$16*2*ASIN(SQRT(SIN(RADIANS(E591-Finder!$G$5)/2)^2+COS(RADIANS(Finder!$G$5))*COS(RADIANS(E591))*SIN(RADIANS(F591-Finder!$G$6)/2)^2)),"")</f>
        <v>1913.0873109052432</v>
      </c>
      <c r="R591" s="39">
        <f>IF(ISNUMBER(Q591),IF(Q591&lt;=Finder!$D$7,1,0),0)</f>
        <v>0</v>
      </c>
      <c r="S591" s="39" t="str">
        <f>IF(R591=1,O591+ROW()*0.000000001,"")</f>
        <v/>
      </c>
      <c r="T591" s="39" t="str">
        <f>IF(O591&gt;0,INDEX(Calc!$B$4:$B$11,MATCH(MAX(G591:N591),G591:N591,0)),"-")</f>
        <v>Cane Trash</v>
      </c>
    </row>
    <row r="592" spans="1:20">
      <c r="A592" s="39">
        <v>589</v>
      </c>
      <c r="B592" s="39" t="s">
        <v>637</v>
      </c>
      <c r="C592" s="39" t="s">
        <v>673</v>
      </c>
      <c r="D592" s="39" t="str">
        <f>B592&amp;"|"&amp;C592</f>
        <v>Tamil Nadu|Vellore</v>
      </c>
      <c r="E592" s="40">
        <v>12.92</v>
      </c>
      <c r="F592" s="40">
        <v>79.13</v>
      </c>
      <c r="G592" s="41">
        <v>4.2</v>
      </c>
      <c r="H592" s="41">
        <v>0</v>
      </c>
      <c r="I592" s="41">
        <v>3.3285</v>
      </c>
      <c r="J592" s="41">
        <v>0</v>
      </c>
      <c r="K592" s="41">
        <v>26.716899999999999</v>
      </c>
      <c r="L592" s="41">
        <v>3.117</v>
      </c>
      <c r="M592" s="41">
        <v>0</v>
      </c>
      <c r="N592" s="41">
        <v>0</v>
      </c>
      <c r="O592" s="42">
        <f>SUM(G592:N592)</f>
        <v>37.362399999999994</v>
      </c>
      <c r="P592" s="42">
        <f>SUMPRODUCT(G592:N592,$G$2:$N$2)*1000/Assumptions!$C$15</f>
        <v>11.242607221700879</v>
      </c>
      <c r="Q592" s="43">
        <f>IF(ISNUMBER(Finder!$G$5),Finder!$D$8*Assumptions!$C$16*2*ASIN(SQRT(SIN(RADIANS(E592-Finder!$G$5)/2)^2+COS(RADIANS(Finder!$G$5))*COS(RADIANS(E592))*SIN(RADIANS(F592-Finder!$G$6)/2)^2)),"")</f>
        <v>1838.7364691970063</v>
      </c>
      <c r="R592" s="39">
        <f>IF(ISNUMBER(Q592),IF(Q592&lt;=Finder!$D$7,1,0),0)</f>
        <v>0</v>
      </c>
      <c r="S592" s="39" t="str">
        <f>IF(R592=1,O592+ROW()*0.000000001,"")</f>
        <v/>
      </c>
      <c r="T592" s="39" t="str">
        <f>IF(O592&gt;0,INDEX(Calc!$B$4:$B$11,MATCH(MAX(G592:N592),G592:N592,0)),"-")</f>
        <v>Cane Trash</v>
      </c>
    </row>
    <row r="593" spans="1:20">
      <c r="A593" s="39">
        <v>590</v>
      </c>
      <c r="B593" s="39" t="s">
        <v>637</v>
      </c>
      <c r="C593" s="39" t="s">
        <v>674</v>
      </c>
      <c r="D593" s="39" t="str">
        <f>B593&amp;"|"&amp;C593</f>
        <v>Tamil Nadu|Viluppuram</v>
      </c>
      <c r="E593" s="40">
        <v>11.94</v>
      </c>
      <c r="F593" s="40">
        <v>79.489999999999995</v>
      </c>
      <c r="G593" s="41">
        <v>39.479999999999997</v>
      </c>
      <c r="H593" s="41">
        <v>0</v>
      </c>
      <c r="I593" s="41">
        <v>4.7595999999999998</v>
      </c>
      <c r="J593" s="41">
        <v>0</v>
      </c>
      <c r="K593" s="41">
        <v>330.23410000000001</v>
      </c>
      <c r="L593" s="41">
        <v>38.527299999999997</v>
      </c>
      <c r="M593" s="41">
        <v>0</v>
      </c>
      <c r="N593" s="41">
        <v>0</v>
      </c>
      <c r="O593" s="42">
        <f>SUM(G593:N593)</f>
        <v>413.00099999999998</v>
      </c>
      <c r="P593" s="42">
        <f>SUMPRODUCT(G593:N593,$G$2:$N$2)*1000/Assumptions!$C$15</f>
        <v>123.70336656275659</v>
      </c>
      <c r="Q593" s="43">
        <f>IF(ISNUMBER(Finder!$G$5),Finder!$D$8*Assumptions!$C$16*2*ASIN(SQRT(SIN(RADIANS(E593-Finder!$G$5)/2)^2+COS(RADIANS(Finder!$G$5))*COS(RADIANS(E593))*SIN(RADIANS(F593-Finder!$G$6)/2)^2)),"")</f>
        <v>1953.0854274661651</v>
      </c>
      <c r="R593" s="39">
        <f>IF(ISNUMBER(Q593),IF(Q593&lt;=Finder!$D$7,1,0),0)</f>
        <v>0</v>
      </c>
      <c r="S593" s="39" t="str">
        <f>IF(R593=1,O593+ROW()*0.000000001,"")</f>
        <v/>
      </c>
      <c r="T593" s="39" t="str">
        <f>IF(O593&gt;0,INDEX(Calc!$B$4:$B$11,MATCH(MAX(G593:N593),G593:N593,0)),"-")</f>
        <v>Cane Trash</v>
      </c>
    </row>
    <row r="594" spans="1:20">
      <c r="A594" s="39">
        <v>591</v>
      </c>
      <c r="B594" s="39" t="s">
        <v>637</v>
      </c>
      <c r="C594" s="39" t="s">
        <v>675</v>
      </c>
      <c r="D594" s="39" t="str">
        <f>B594&amp;"|"&amp;C594</f>
        <v>Tamil Nadu|Virudhunagar</v>
      </c>
      <c r="E594" s="40">
        <v>9.58</v>
      </c>
      <c r="F594" s="40">
        <v>77.959999999999994</v>
      </c>
      <c r="G594" s="41">
        <v>11.34</v>
      </c>
      <c r="H594" s="41">
        <v>0</v>
      </c>
      <c r="I594" s="41">
        <v>219.84899999999999</v>
      </c>
      <c r="J594" s="41">
        <v>0</v>
      </c>
      <c r="K594" s="41">
        <v>19.2287</v>
      </c>
      <c r="L594" s="41">
        <v>2.2433000000000001</v>
      </c>
      <c r="M594" s="41">
        <v>0</v>
      </c>
      <c r="N594" s="41">
        <v>0</v>
      </c>
      <c r="O594" s="42">
        <f>SUM(G594:N594)</f>
        <v>252.661</v>
      </c>
      <c r="P594" s="42">
        <f>SUMPRODUCT(G594:N594,$G$2:$N$2)*1000/Assumptions!$C$15</f>
        <v>75.111061603225806</v>
      </c>
      <c r="Q594" s="43">
        <f>IF(ISNUMBER(Finder!$G$5),Finder!$D$8*Assumptions!$C$16*2*ASIN(SQRT(SIN(RADIANS(E594-Finder!$G$5)/2)^2+COS(RADIANS(Finder!$G$5))*COS(RADIANS(E594))*SIN(RADIANS(F594-Finder!$G$6)/2)^2)),"")</f>
        <v>2188.5664631272384</v>
      </c>
      <c r="R594" s="39">
        <f>IF(ISNUMBER(Q594),IF(Q594&lt;=Finder!$D$7,1,0),0)</f>
        <v>0</v>
      </c>
      <c r="S594" s="39" t="str">
        <f>IF(R594=1,O594+ROW()*0.000000001,"")</f>
        <v/>
      </c>
      <c r="T594" s="39" t="str">
        <f>IF(O594&gt;0,INDEX(Calc!$B$4:$B$11,MATCH(MAX(G594:N594),G594:N594,0)),"-")</f>
        <v>Maize Stover</v>
      </c>
    </row>
    <row r="595" spans="1:20">
      <c r="A595" s="39">
        <v>592</v>
      </c>
      <c r="B595" s="39" t="s">
        <v>676</v>
      </c>
      <c r="C595" s="39" t="s">
        <v>677</v>
      </c>
      <c r="D595" s="39" t="str">
        <f>B595&amp;"|"&amp;C595</f>
        <v>Telangana|Adilabad</v>
      </c>
      <c r="E595" s="40">
        <v>19.66</v>
      </c>
      <c r="F595" s="40">
        <v>78.53</v>
      </c>
      <c r="G595" s="41">
        <v>0.42</v>
      </c>
      <c r="H595" s="41">
        <v>0.45</v>
      </c>
      <c r="I595" s="41">
        <v>40.5867</v>
      </c>
      <c r="J595" s="41">
        <v>0</v>
      </c>
      <c r="K595" s="41">
        <v>0.15390000000000001</v>
      </c>
      <c r="L595" s="41">
        <v>1.7999999999999999E-2</v>
      </c>
      <c r="M595" s="41">
        <v>151.23849999999999</v>
      </c>
      <c r="N595" s="41">
        <v>0</v>
      </c>
      <c r="O595" s="42">
        <f>SUM(G595:N595)</f>
        <v>192.86709999999999</v>
      </c>
      <c r="P595" s="42">
        <f>SUMPRODUCT(G595:N595,$G$2:$N$2)*1000/Assumptions!$C$15</f>
        <v>60.068462782404694</v>
      </c>
      <c r="Q595" s="43">
        <f>IF(ISNUMBER(Finder!$G$5),Finder!$D$8*Assumptions!$C$16*2*ASIN(SQRT(SIN(RADIANS(E595-Finder!$G$5)/2)^2+COS(RADIANS(Finder!$G$5))*COS(RADIANS(E595))*SIN(RADIANS(F595-Finder!$G$6)/2)^2)),"")</f>
        <v>1092.7904622682984</v>
      </c>
      <c r="R595" s="39">
        <f>IF(ISNUMBER(Q595),IF(Q595&lt;=Finder!$D$7,1,0),0)</f>
        <v>0</v>
      </c>
      <c r="S595" s="39" t="str">
        <f>IF(R595=1,O595+ROW()*0.000000001,"")</f>
        <v/>
      </c>
      <c r="T595" s="39" t="str">
        <f>IF(O595&gt;0,INDEX(Calc!$B$4:$B$11,MATCH(MAX(G595:N595),G595:N595,0)),"-")</f>
        <v>Soya Trash</v>
      </c>
    </row>
    <row r="596" spans="1:20">
      <c r="A596" s="39">
        <v>593</v>
      </c>
      <c r="B596" s="39" t="s">
        <v>676</v>
      </c>
      <c r="C596" s="39" t="s">
        <v>678</v>
      </c>
      <c r="D596" s="39" t="str">
        <f>B596&amp;"|"&amp;C596</f>
        <v>Telangana|Bhadradri Kothagudem</v>
      </c>
      <c r="E596" s="40">
        <v>17.55</v>
      </c>
      <c r="F596" s="40">
        <v>80.62</v>
      </c>
      <c r="G596" s="41">
        <v>38.22</v>
      </c>
      <c r="H596" s="41">
        <v>0</v>
      </c>
      <c r="I596" s="41">
        <v>190.58869999999999</v>
      </c>
      <c r="J596" s="41">
        <v>0</v>
      </c>
      <c r="K596" s="41">
        <v>14.386100000000001</v>
      </c>
      <c r="L596" s="41">
        <v>1.6783999999999999</v>
      </c>
      <c r="M596" s="41">
        <v>0</v>
      </c>
      <c r="N596" s="41">
        <v>0</v>
      </c>
      <c r="O596" s="42">
        <f>SUM(G596:N596)</f>
        <v>244.8732</v>
      </c>
      <c r="P596" s="42">
        <f>SUMPRODUCT(G596:N596,$G$2:$N$2)*1000/Assumptions!$C$15</f>
        <v>74.774941709090896</v>
      </c>
      <c r="Q596" s="43">
        <f>IF(ISNUMBER(Finder!$G$5),Finder!$D$8*Assumptions!$C$16*2*ASIN(SQRT(SIN(RADIANS(E596-Finder!$G$5)/2)^2+COS(RADIANS(Finder!$G$5))*COS(RADIANS(E596))*SIN(RADIANS(F596-Finder!$G$6)/2)^2)),"")</f>
        <v>1382.973168133944</v>
      </c>
      <c r="R596" s="39">
        <f>IF(ISNUMBER(Q596),IF(Q596&lt;=Finder!$D$7,1,0),0)</f>
        <v>0</v>
      </c>
      <c r="S596" s="39" t="str">
        <f>IF(R596=1,O596+ROW()*0.000000001,"")</f>
        <v/>
      </c>
      <c r="T596" s="39" t="str">
        <f>IF(O596&gt;0,INDEX(Calc!$B$4:$B$11,MATCH(MAX(G596:N596),G596:N596,0)),"-")</f>
        <v>Maize Stover</v>
      </c>
    </row>
    <row r="597" spans="1:20">
      <c r="A597" s="39">
        <v>594</v>
      </c>
      <c r="B597" s="39" t="s">
        <v>676</v>
      </c>
      <c r="C597" s="39" t="s">
        <v>679</v>
      </c>
      <c r="D597" s="39" t="str">
        <f>B597&amp;"|"&amp;C597</f>
        <v>Telangana|Hanumakonda</v>
      </c>
      <c r="E597" s="40">
        <v>18.010000000000002</v>
      </c>
      <c r="F597" s="40">
        <v>79.56</v>
      </c>
      <c r="G597" s="41">
        <v>44.1</v>
      </c>
      <c r="H597" s="41">
        <v>0</v>
      </c>
      <c r="I597" s="41">
        <v>156.64320000000001</v>
      </c>
      <c r="J597" s="41">
        <v>0</v>
      </c>
      <c r="K597" s="41">
        <v>0</v>
      </c>
      <c r="L597" s="41">
        <v>0</v>
      </c>
      <c r="M597" s="41">
        <v>0.245</v>
      </c>
      <c r="N597" s="41">
        <v>0</v>
      </c>
      <c r="O597" s="42">
        <f>SUM(G597:N597)</f>
        <v>200.98820000000001</v>
      </c>
      <c r="P597" s="42">
        <f>SUMPRODUCT(G597:N597,$G$2:$N$2)*1000/Assumptions!$C$15</f>
        <v>62.323992173607031</v>
      </c>
      <c r="Q597" s="43">
        <f>IF(ISNUMBER(Finder!$G$5),Finder!$D$8*Assumptions!$C$16*2*ASIN(SQRT(SIN(RADIANS(E597-Finder!$G$5)/2)^2+COS(RADIANS(Finder!$G$5))*COS(RADIANS(E597))*SIN(RADIANS(F597-Finder!$G$6)/2)^2)),"")</f>
        <v>1298.7614943139827</v>
      </c>
      <c r="R597" s="39">
        <f>IF(ISNUMBER(Q597),IF(Q597&lt;=Finder!$D$7,1,0),0)</f>
        <v>0</v>
      </c>
      <c r="S597" s="39" t="str">
        <f>IF(R597=1,O597+ROW()*0.000000001,"")</f>
        <v/>
      </c>
      <c r="T597" s="39" t="str">
        <f>IF(O597&gt;0,INDEX(Calc!$B$4:$B$11,MATCH(MAX(G597:N597),G597:N597,0)),"-")</f>
        <v>Maize Stover</v>
      </c>
    </row>
    <row r="598" spans="1:20">
      <c r="A598" s="39">
        <v>595</v>
      </c>
      <c r="B598" s="39" t="s">
        <v>676</v>
      </c>
      <c r="C598" s="39" t="s">
        <v>680</v>
      </c>
      <c r="D598" s="39" t="str">
        <f>B598&amp;"|"&amp;C598</f>
        <v>Telangana|Jagitial</v>
      </c>
      <c r="E598" s="40">
        <v>18.79</v>
      </c>
      <c r="F598" s="40">
        <v>78.91</v>
      </c>
      <c r="G598" s="41">
        <v>97.02</v>
      </c>
      <c r="H598" s="41">
        <v>0</v>
      </c>
      <c r="I598" s="41">
        <v>199.97980000000001</v>
      </c>
      <c r="J598" s="41">
        <v>0</v>
      </c>
      <c r="K598" s="41">
        <v>21.414200000000001</v>
      </c>
      <c r="L598" s="41">
        <v>2.4983</v>
      </c>
      <c r="M598" s="41">
        <v>1.2083999999999999</v>
      </c>
      <c r="N598" s="41">
        <v>0</v>
      </c>
      <c r="O598" s="42">
        <f>SUM(G598:N598)</f>
        <v>322.12069999999994</v>
      </c>
      <c r="P598" s="42">
        <f>SUMPRODUCT(G598:N598,$G$2:$N$2)*1000/Assumptions!$C$15</f>
        <v>101.76750792404691</v>
      </c>
      <c r="Q598" s="43">
        <f>IF(ISNUMBER(Finder!$G$5),Finder!$D$8*Assumptions!$C$16*2*ASIN(SQRT(SIN(RADIANS(E598-Finder!$G$5)/2)^2+COS(RADIANS(Finder!$G$5))*COS(RADIANS(E598))*SIN(RADIANS(F598-Finder!$G$6)/2)^2)),"")</f>
        <v>1196.5157237866174</v>
      </c>
      <c r="R598" s="39">
        <f>IF(ISNUMBER(Q598),IF(Q598&lt;=Finder!$D$7,1,0),0)</f>
        <v>0</v>
      </c>
      <c r="S598" s="39" t="str">
        <f>IF(R598=1,O598+ROW()*0.000000001,"")</f>
        <v/>
      </c>
      <c r="T598" s="39" t="str">
        <f>IF(O598&gt;0,INDEX(Calc!$B$4:$B$11,MATCH(MAX(G598:N598),G598:N598,0)),"-")</f>
        <v>Maize Stover</v>
      </c>
    </row>
    <row r="599" spans="1:20">
      <c r="A599" s="39">
        <v>596</v>
      </c>
      <c r="B599" s="39" t="s">
        <v>676</v>
      </c>
      <c r="C599" s="39" t="s">
        <v>681</v>
      </c>
      <c r="D599" s="39" t="str">
        <f>B599&amp;"|"&amp;C599</f>
        <v>Telangana|Jangoan</v>
      </c>
      <c r="E599" s="40">
        <v>17.72</v>
      </c>
      <c r="F599" s="40">
        <v>79.150000000000006</v>
      </c>
      <c r="G599" s="41">
        <v>63.84</v>
      </c>
      <c r="H599" s="41">
        <v>0</v>
      </c>
      <c r="I599" s="41">
        <v>31.7194</v>
      </c>
      <c r="J599" s="41">
        <v>0</v>
      </c>
      <c r="K599" s="41">
        <v>5.1299999999999998E-2</v>
      </c>
      <c r="L599" s="41">
        <v>6.0000000000000001E-3</v>
      </c>
      <c r="M599" s="41">
        <v>8.8000000000000005E-3</v>
      </c>
      <c r="N599" s="41">
        <v>0</v>
      </c>
      <c r="O599" s="42">
        <f>SUM(G599:N599)</f>
        <v>95.625500000000002</v>
      </c>
      <c r="P599" s="42">
        <f>SUMPRODUCT(G599:N599,$G$2:$N$2)*1000/Assumptions!$C$15</f>
        <v>32.75162597888562</v>
      </c>
      <c r="Q599" s="43">
        <f>IF(ISNUMBER(Finder!$G$5),Finder!$D$8*Assumptions!$C$16*2*ASIN(SQRT(SIN(RADIANS(E599-Finder!$G$5)/2)^2+COS(RADIANS(Finder!$G$5))*COS(RADIANS(E599))*SIN(RADIANS(F599-Finder!$G$6)/2)^2)),"")</f>
        <v>1318.0094042742885</v>
      </c>
      <c r="R599" s="39">
        <f>IF(ISNUMBER(Q599),IF(Q599&lt;=Finder!$D$7,1,0),0)</f>
        <v>0</v>
      </c>
      <c r="S599" s="39" t="str">
        <f>IF(R599=1,O599+ROW()*0.000000001,"")</f>
        <v/>
      </c>
      <c r="T599" s="39" t="str">
        <f>IF(O599&gt;0,INDEX(Calc!$B$4:$B$11,MATCH(MAX(G599:N599),G599:N599,0)),"-")</f>
        <v>Paddy Straw</v>
      </c>
    </row>
    <row r="600" spans="1:20">
      <c r="A600" s="39">
        <v>597</v>
      </c>
      <c r="B600" s="39" t="s">
        <v>676</v>
      </c>
      <c r="C600" s="39" t="s">
        <v>682</v>
      </c>
      <c r="D600" s="39" t="str">
        <f>B600&amp;"|"&amp;C600</f>
        <v>Telangana|Jayashankar Bhupalapally</v>
      </c>
      <c r="E600" s="40">
        <v>18.43</v>
      </c>
      <c r="F600" s="40">
        <v>79.86</v>
      </c>
      <c r="G600" s="41">
        <v>32.340000000000003</v>
      </c>
      <c r="H600" s="41">
        <v>0</v>
      </c>
      <c r="I600" s="41">
        <v>33.475000000000001</v>
      </c>
      <c r="J600" s="41">
        <v>0</v>
      </c>
      <c r="K600" s="41">
        <v>0</v>
      </c>
      <c r="L600" s="41">
        <v>0</v>
      </c>
      <c r="M600" s="41">
        <v>8.8000000000000005E-3</v>
      </c>
      <c r="N600" s="41">
        <v>0</v>
      </c>
      <c r="O600" s="42">
        <f>SUM(G600:N600)</f>
        <v>65.823799999999991</v>
      </c>
      <c r="P600" s="42">
        <f>SUMPRODUCT(G600:N600,$G$2:$N$2)*1000/Assumptions!$C$15</f>
        <v>21.704879821700882</v>
      </c>
      <c r="Q600" s="43">
        <f>IF(ISNUMBER(Finder!$G$5),Finder!$D$8*Assumptions!$C$16*2*ASIN(SQRT(SIN(RADIANS(E600-Finder!$G$5)/2)^2+COS(RADIANS(Finder!$G$5))*COS(RADIANS(E600))*SIN(RADIANS(F600-Finder!$G$6)/2)^2)),"")</f>
        <v>1263.9183250812805</v>
      </c>
      <c r="R600" s="39">
        <f>IF(ISNUMBER(Q600),IF(Q600&lt;=Finder!$D$7,1,0),0)</f>
        <v>0</v>
      </c>
      <c r="S600" s="39" t="str">
        <f>IF(R600=1,O600+ROW()*0.000000001,"")</f>
        <v/>
      </c>
      <c r="T600" s="39" t="str">
        <f>IF(O600&gt;0,INDEX(Calc!$B$4:$B$11,MATCH(MAX(G600:N600),G600:N600,0)),"-")</f>
        <v>Maize Stover</v>
      </c>
    </row>
    <row r="601" spans="1:20">
      <c r="A601" s="39">
        <v>598</v>
      </c>
      <c r="B601" s="39" t="s">
        <v>676</v>
      </c>
      <c r="C601" s="39" t="s">
        <v>683</v>
      </c>
      <c r="D601" s="39" t="str">
        <f>B601&amp;"|"&amp;C601</f>
        <v>Telangana|Jogulamba Gadwal</v>
      </c>
      <c r="E601" s="40">
        <v>16.23</v>
      </c>
      <c r="F601" s="40">
        <v>77.8</v>
      </c>
      <c r="G601" s="41">
        <v>28.14</v>
      </c>
      <c r="H601" s="41">
        <v>0</v>
      </c>
      <c r="I601" s="41">
        <v>71.176299999999998</v>
      </c>
      <c r="J601" s="41">
        <v>0</v>
      </c>
      <c r="K601" s="41">
        <v>14.975099999999999</v>
      </c>
      <c r="L601" s="41">
        <v>1.7471000000000001</v>
      </c>
      <c r="M601" s="41">
        <v>0.1242</v>
      </c>
      <c r="N601" s="41">
        <v>0</v>
      </c>
      <c r="O601" s="42">
        <f>SUM(G601:N601)</f>
        <v>116.1627</v>
      </c>
      <c r="P601" s="42">
        <f>SUMPRODUCT(G601:N601,$G$2:$N$2)*1000/Assumptions!$C$15</f>
        <v>36.182663563929616</v>
      </c>
      <c r="Q601" s="43">
        <f>IF(ISNUMBER(Finder!$G$5),Finder!$D$8*Assumptions!$C$16*2*ASIN(SQRT(SIN(RADIANS(E601-Finder!$G$5)/2)^2+COS(RADIANS(Finder!$G$5))*COS(RADIANS(E601))*SIN(RADIANS(F601-Finder!$G$6)/2)^2)),"")</f>
        <v>1452.2974266983927</v>
      </c>
      <c r="R601" s="39">
        <f>IF(ISNUMBER(Q601),IF(Q601&lt;=Finder!$D$7,1,0),0)</f>
        <v>0</v>
      </c>
      <c r="S601" s="39" t="str">
        <f>IF(R601=1,O601+ROW()*0.000000001,"")</f>
        <v/>
      </c>
      <c r="T601" s="39" t="str">
        <f>IF(O601&gt;0,INDEX(Calc!$B$4:$B$11,MATCH(MAX(G601:N601),G601:N601,0)),"-")</f>
        <v>Maize Stover</v>
      </c>
    </row>
    <row r="602" spans="1:20">
      <c r="A602" s="39">
        <v>599</v>
      </c>
      <c r="B602" s="39" t="s">
        <v>676</v>
      </c>
      <c r="C602" s="39" t="s">
        <v>684</v>
      </c>
      <c r="D602" s="39" t="str">
        <f>B602&amp;"|"&amp;C602</f>
        <v>Telangana|Kamareddy</v>
      </c>
      <c r="E602" s="40">
        <v>18.32</v>
      </c>
      <c r="F602" s="40">
        <v>78.34</v>
      </c>
      <c r="G602" s="41">
        <v>88.62</v>
      </c>
      <c r="H602" s="41">
        <v>0</v>
      </c>
      <c r="I602" s="41">
        <v>241.92519999999999</v>
      </c>
      <c r="J602" s="41">
        <v>0</v>
      </c>
      <c r="K602" s="41">
        <v>87.358500000000006</v>
      </c>
      <c r="L602" s="41">
        <v>10.191800000000001</v>
      </c>
      <c r="M602" s="41">
        <v>88.563999999999993</v>
      </c>
      <c r="N602" s="41">
        <v>0</v>
      </c>
      <c r="O602" s="42">
        <f>SUM(G602:N602)</f>
        <v>516.65949999999998</v>
      </c>
      <c r="P602" s="42">
        <f>SUMPRODUCT(G602:N602,$G$2:$N$2)*1000/Assumptions!$C$15</f>
        <v>160.14679877595304</v>
      </c>
      <c r="Q602" s="43">
        <f>IF(ISNUMBER(Finder!$G$5),Finder!$D$8*Assumptions!$C$16*2*ASIN(SQRT(SIN(RADIANS(E602-Finder!$G$5)/2)^2+COS(RADIANS(Finder!$G$5))*COS(RADIANS(E602))*SIN(RADIANS(F602-Finder!$G$6)/2)^2)),"")</f>
        <v>1233.28118202887</v>
      </c>
      <c r="R602" s="39">
        <f>IF(ISNUMBER(Q602),IF(Q602&lt;=Finder!$D$7,1,0),0)</f>
        <v>0</v>
      </c>
      <c r="S602" s="39" t="str">
        <f>IF(R602=1,O602+ROW()*0.000000001,"")</f>
        <v/>
      </c>
      <c r="T602" s="39" t="str">
        <f>IF(O602&gt;0,INDEX(Calc!$B$4:$B$11,MATCH(MAX(G602:N602),G602:N602,0)),"-")</f>
        <v>Maize Stover</v>
      </c>
    </row>
    <row r="603" spans="1:20">
      <c r="A603" s="39">
        <v>600</v>
      </c>
      <c r="B603" s="39" t="s">
        <v>676</v>
      </c>
      <c r="C603" s="39" t="s">
        <v>685</v>
      </c>
      <c r="D603" s="39" t="str">
        <f>B603&amp;"|"&amp;C603</f>
        <v>Telangana|Karimnagar</v>
      </c>
      <c r="E603" s="40">
        <v>18.440000000000001</v>
      </c>
      <c r="F603" s="40">
        <v>79.13</v>
      </c>
      <c r="G603" s="41">
        <v>87.36</v>
      </c>
      <c r="H603" s="41">
        <v>0</v>
      </c>
      <c r="I603" s="41">
        <v>58.698099999999997</v>
      </c>
      <c r="J603" s="41">
        <v>0</v>
      </c>
      <c r="K603" s="41">
        <v>0</v>
      </c>
      <c r="L603" s="41">
        <v>0</v>
      </c>
      <c r="M603" s="41">
        <v>4.4000000000000003E-3</v>
      </c>
      <c r="N603" s="41">
        <v>0</v>
      </c>
      <c r="O603" s="42">
        <f>SUM(G603:N603)</f>
        <v>146.0625</v>
      </c>
      <c r="P603" s="42">
        <f>SUMPRODUCT(G603:N603,$G$2:$N$2)*1000/Assumptions!$C$15</f>
        <v>49.291482724926681</v>
      </c>
      <c r="Q603" s="43">
        <f>IF(ISNUMBER(Finder!$G$5),Finder!$D$8*Assumptions!$C$16*2*ASIN(SQRT(SIN(RADIANS(E603-Finder!$G$5)/2)^2+COS(RADIANS(Finder!$G$5))*COS(RADIANS(E603))*SIN(RADIANS(F603-Finder!$G$6)/2)^2)),"")</f>
        <v>1240.1794536288753</v>
      </c>
      <c r="R603" s="39">
        <f>IF(ISNUMBER(Q603),IF(Q603&lt;=Finder!$D$7,1,0),0)</f>
        <v>0</v>
      </c>
      <c r="S603" s="39" t="str">
        <f>IF(R603=1,O603+ROW()*0.000000001,"")</f>
        <v/>
      </c>
      <c r="T603" s="39" t="str">
        <f>IF(O603&gt;0,INDEX(Calc!$B$4:$B$11,MATCH(MAX(G603:N603),G603:N603,0)),"-")</f>
        <v>Paddy Straw</v>
      </c>
    </row>
    <row r="604" spans="1:20">
      <c r="A604" s="39">
        <v>601</v>
      </c>
      <c r="B604" s="39" t="s">
        <v>676</v>
      </c>
      <c r="C604" s="39" t="s">
        <v>686</v>
      </c>
      <c r="D604" s="39" t="str">
        <f>B604&amp;"|"&amp;C604</f>
        <v>Telangana|Khammam</v>
      </c>
      <c r="E604" s="40">
        <v>17.25</v>
      </c>
      <c r="F604" s="40">
        <v>80.150000000000006</v>
      </c>
      <c r="G604" s="41">
        <v>83.16</v>
      </c>
      <c r="H604" s="41">
        <v>0</v>
      </c>
      <c r="I604" s="41">
        <v>250.9983</v>
      </c>
      <c r="J604" s="41">
        <v>0</v>
      </c>
      <c r="K604" s="41">
        <v>86.412099999999995</v>
      </c>
      <c r="L604" s="41">
        <v>10.0814</v>
      </c>
      <c r="M604" s="41">
        <v>2.4500000000000001E-2</v>
      </c>
      <c r="N604" s="41">
        <v>0</v>
      </c>
      <c r="O604" s="42">
        <f>SUM(G604:N604)</f>
        <v>430.67629999999997</v>
      </c>
      <c r="P604" s="42">
        <f>SUMPRODUCT(G604:N604,$G$2:$N$2)*1000/Assumptions!$C$15</f>
        <v>132.54573896598239</v>
      </c>
      <c r="Q604" s="43">
        <f>IF(ISNUMBER(Finder!$G$5),Finder!$D$8*Assumptions!$C$16*2*ASIN(SQRT(SIN(RADIANS(E604-Finder!$G$5)/2)^2+COS(RADIANS(Finder!$G$5))*COS(RADIANS(E604))*SIN(RADIANS(F604-Finder!$G$6)/2)^2)),"")</f>
        <v>1398.120495079887</v>
      </c>
      <c r="R604" s="39">
        <f>IF(ISNUMBER(Q604),IF(Q604&lt;=Finder!$D$7,1,0),0)</f>
        <v>0</v>
      </c>
      <c r="S604" s="39" t="str">
        <f>IF(R604=1,O604+ROW()*0.000000001,"")</f>
        <v/>
      </c>
      <c r="T604" s="39" t="str">
        <f>IF(O604&gt;0,INDEX(Calc!$B$4:$B$11,MATCH(MAX(G604:N604),G604:N604,0)),"-")</f>
        <v>Maize Stover</v>
      </c>
    </row>
    <row r="605" spans="1:20">
      <c r="A605" s="39">
        <v>602</v>
      </c>
      <c r="B605" s="39" t="s">
        <v>676</v>
      </c>
      <c r="C605" s="39" t="s">
        <v>687</v>
      </c>
      <c r="D605" s="39" t="str">
        <f>B605&amp;"|"&amp;C605</f>
        <v>Telangana|Kumuram Bheem Asifabad</v>
      </c>
      <c r="E605" s="40">
        <v>19.36</v>
      </c>
      <c r="F605" s="40">
        <v>79.28</v>
      </c>
      <c r="G605" s="41">
        <v>12.6</v>
      </c>
      <c r="H605" s="41">
        <v>0</v>
      </c>
      <c r="I605" s="41">
        <v>6.7062999999999997</v>
      </c>
      <c r="J605" s="41">
        <v>0</v>
      </c>
      <c r="K605" s="41">
        <v>5.1299999999999998E-2</v>
      </c>
      <c r="L605" s="41">
        <v>6.0000000000000001E-3</v>
      </c>
      <c r="M605" s="41">
        <v>8.3580000000000005</v>
      </c>
      <c r="N605" s="41">
        <v>0</v>
      </c>
      <c r="O605" s="42">
        <f>SUM(G605:N605)</f>
        <v>27.721600000000002</v>
      </c>
      <c r="P605" s="42">
        <f>SUMPRODUCT(G605:N605,$G$2:$N$2)*1000/Assumptions!$C$15</f>
        <v>9.2475711788856287</v>
      </c>
      <c r="Q605" s="43">
        <f>IF(ISNUMBER(Finder!$G$5),Finder!$D$8*Assumptions!$C$16*2*ASIN(SQRT(SIN(RADIANS(E605-Finder!$G$5)/2)^2+COS(RADIANS(Finder!$G$5))*COS(RADIANS(E605))*SIN(RADIANS(F605-Finder!$G$6)/2)^2)),"")</f>
        <v>1146.6407392924671</v>
      </c>
      <c r="R605" s="39">
        <f>IF(ISNUMBER(Q605),IF(Q605&lt;=Finder!$D$7,1,0),0)</f>
        <v>0</v>
      </c>
      <c r="S605" s="39" t="str">
        <f>IF(R605=1,O605+ROW()*0.000000001,"")</f>
        <v/>
      </c>
      <c r="T605" s="39" t="str">
        <f>IF(O605&gt;0,INDEX(Calc!$B$4:$B$11,MATCH(MAX(G605:N605),G605:N605,0)),"-")</f>
        <v>Paddy Straw</v>
      </c>
    </row>
    <row r="606" spans="1:20">
      <c r="A606" s="39">
        <v>603</v>
      </c>
      <c r="B606" s="39" t="s">
        <v>676</v>
      </c>
      <c r="C606" s="39" t="s">
        <v>688</v>
      </c>
      <c r="D606" s="39" t="str">
        <f>B606&amp;"|"&amp;C606</f>
        <v>Telangana|Mahabubabad</v>
      </c>
      <c r="E606" s="40">
        <v>17.600000000000001</v>
      </c>
      <c r="F606" s="40">
        <v>80</v>
      </c>
      <c r="G606" s="41">
        <v>58.8</v>
      </c>
      <c r="H606" s="41">
        <v>0</v>
      </c>
      <c r="I606" s="41">
        <v>220.9966</v>
      </c>
      <c r="J606" s="41">
        <v>0</v>
      </c>
      <c r="K606" s="41">
        <v>0.1368</v>
      </c>
      <c r="L606" s="41">
        <v>1.6E-2</v>
      </c>
      <c r="M606" s="41">
        <v>0</v>
      </c>
      <c r="N606" s="41">
        <v>0</v>
      </c>
      <c r="O606" s="42">
        <f>SUM(G606:N606)</f>
        <v>279.94940000000003</v>
      </c>
      <c r="P606" s="42">
        <f>SUMPRODUCT(G606:N606,$G$2:$N$2)*1000/Assumptions!$C$15</f>
        <v>86.611245797067454</v>
      </c>
      <c r="Q606" s="43">
        <f>IF(ISNUMBER(Finder!$G$5),Finder!$D$8*Assumptions!$C$16*2*ASIN(SQRT(SIN(RADIANS(E606-Finder!$G$5)/2)^2+COS(RADIANS(Finder!$G$5))*COS(RADIANS(E606))*SIN(RADIANS(F606-Finder!$G$6)/2)^2)),"")</f>
        <v>1356.1888244959923</v>
      </c>
      <c r="R606" s="39">
        <f>IF(ISNUMBER(Q606),IF(Q606&lt;=Finder!$D$7,1,0),0)</f>
        <v>0</v>
      </c>
      <c r="S606" s="39" t="str">
        <f>IF(R606=1,O606+ROW()*0.000000001,"")</f>
        <v/>
      </c>
      <c r="T606" s="39" t="str">
        <f>IF(O606&gt;0,INDEX(Calc!$B$4:$B$11,MATCH(MAX(G606:N606),G606:N606,0)),"-")</f>
        <v>Maize Stover</v>
      </c>
    </row>
    <row r="607" spans="1:20">
      <c r="A607" s="39">
        <v>604</v>
      </c>
      <c r="B607" s="39" t="s">
        <v>676</v>
      </c>
      <c r="C607" s="39" t="s">
        <v>689</v>
      </c>
      <c r="D607" s="39" t="str">
        <f>B607&amp;"|"&amp;C607</f>
        <v>Telangana|Mahabubnagar</v>
      </c>
      <c r="E607" s="40">
        <v>16.739999999999998</v>
      </c>
      <c r="F607" s="40">
        <v>78</v>
      </c>
      <c r="G607" s="41">
        <v>57.54</v>
      </c>
      <c r="H607" s="41">
        <v>0</v>
      </c>
      <c r="I607" s="41">
        <v>54.170499999999997</v>
      </c>
      <c r="J607" s="41">
        <v>0</v>
      </c>
      <c r="K607" s="41">
        <v>5.7183999999999999</v>
      </c>
      <c r="L607" s="41">
        <v>0.66710000000000003</v>
      </c>
      <c r="M607" s="41">
        <v>0</v>
      </c>
      <c r="N607" s="41">
        <v>0</v>
      </c>
      <c r="O607" s="42">
        <f>SUM(G607:N607)</f>
        <v>118.096</v>
      </c>
      <c r="P607" s="42">
        <f>SUMPRODUCT(G607:N607,$G$2:$N$2)*1000/Assumptions!$C$15</f>
        <v>38.894736272434017</v>
      </c>
      <c r="Q607" s="43">
        <f>IF(ISNUMBER(Finder!$G$5),Finder!$D$8*Assumptions!$C$16*2*ASIN(SQRT(SIN(RADIANS(E607-Finder!$G$5)/2)^2+COS(RADIANS(Finder!$G$5))*COS(RADIANS(E607))*SIN(RADIANS(F607-Finder!$G$6)/2)^2)),"")</f>
        <v>1399.4216280210778</v>
      </c>
      <c r="R607" s="39">
        <f>IF(ISNUMBER(Q607),IF(Q607&lt;=Finder!$D$7,1,0),0)</f>
        <v>0</v>
      </c>
      <c r="S607" s="39" t="str">
        <f>IF(R607=1,O607+ROW()*0.000000001,"")</f>
        <v/>
      </c>
      <c r="T607" s="39" t="str">
        <f>IF(O607&gt;0,INDEX(Calc!$B$4:$B$11,MATCH(MAX(G607:N607),G607:N607,0)),"-")</f>
        <v>Paddy Straw</v>
      </c>
    </row>
    <row r="608" spans="1:20">
      <c r="A608" s="39">
        <v>605</v>
      </c>
      <c r="B608" s="39" t="s">
        <v>676</v>
      </c>
      <c r="C608" s="39" t="s">
        <v>690</v>
      </c>
      <c r="D608" s="39" t="str">
        <f>B608&amp;"|"&amp;C608</f>
        <v>Telangana|Mancherial</v>
      </c>
      <c r="E608" s="40">
        <v>18.87</v>
      </c>
      <c r="F608" s="40">
        <v>79.44</v>
      </c>
      <c r="G608" s="41">
        <v>44.1</v>
      </c>
      <c r="H608" s="41">
        <v>0</v>
      </c>
      <c r="I608" s="41">
        <v>5.7750000000000004</v>
      </c>
      <c r="J608" s="41">
        <v>0</v>
      </c>
      <c r="K608" s="41">
        <v>0</v>
      </c>
      <c r="L608" s="41">
        <v>0</v>
      </c>
      <c r="M608" s="41">
        <v>2.2700000000000001E-2</v>
      </c>
      <c r="N608" s="41">
        <v>0</v>
      </c>
      <c r="O608" s="42">
        <f>SUM(G608:N608)</f>
        <v>49.8977</v>
      </c>
      <c r="P608" s="42">
        <f>SUMPRODUCT(G608:N608,$G$2:$N$2)*1000/Assumptions!$C$15</f>
        <v>17.871110929032259</v>
      </c>
      <c r="Q608" s="43">
        <f>IF(ISNUMBER(Finder!$G$5),Finder!$D$8*Assumptions!$C$16*2*ASIN(SQRT(SIN(RADIANS(E608-Finder!$G$5)/2)^2+COS(RADIANS(Finder!$G$5))*COS(RADIANS(E608))*SIN(RADIANS(F608-Finder!$G$6)/2)^2)),"")</f>
        <v>1203.6587335050369</v>
      </c>
      <c r="R608" s="39">
        <f>IF(ISNUMBER(Q608),IF(Q608&lt;=Finder!$D$7,1,0),0)</f>
        <v>0</v>
      </c>
      <c r="S608" s="39" t="str">
        <f>IF(R608=1,O608+ROW()*0.000000001,"")</f>
        <v/>
      </c>
      <c r="T608" s="39" t="str">
        <f>IF(O608&gt;0,INDEX(Calc!$B$4:$B$11,MATCH(MAX(G608:N608),G608:N608,0)),"-")</f>
        <v>Paddy Straw</v>
      </c>
    </row>
    <row r="609" spans="1:20">
      <c r="A609" s="39">
        <v>606</v>
      </c>
      <c r="B609" s="39" t="s">
        <v>676</v>
      </c>
      <c r="C609" s="39" t="s">
        <v>691</v>
      </c>
      <c r="D609" s="39" t="str">
        <f>B609&amp;"|"&amp;C609</f>
        <v>Telangana|Medak</v>
      </c>
      <c r="E609" s="40">
        <v>18.05</v>
      </c>
      <c r="F609" s="40">
        <v>78.260000000000005</v>
      </c>
      <c r="G609" s="41">
        <v>91.56</v>
      </c>
      <c r="H609" s="41">
        <v>0</v>
      </c>
      <c r="I609" s="41">
        <v>13.5334</v>
      </c>
      <c r="J609" s="41">
        <v>0</v>
      </c>
      <c r="K609" s="41">
        <v>8.4436</v>
      </c>
      <c r="L609" s="41">
        <v>0.98509999999999998</v>
      </c>
      <c r="M609" s="41">
        <v>4.2000000000000003E-2</v>
      </c>
      <c r="N609" s="41">
        <v>0</v>
      </c>
      <c r="O609" s="42">
        <f>SUM(G609:N609)</f>
        <v>114.56410000000001</v>
      </c>
      <c r="P609" s="42">
        <f>SUMPRODUCT(G609:N609,$G$2:$N$2)*1000/Assumptions!$C$15</f>
        <v>40.313348070674479</v>
      </c>
      <c r="Q609" s="43">
        <f>IF(ISNUMBER(Finder!$G$5),Finder!$D$8*Assumptions!$C$16*2*ASIN(SQRT(SIN(RADIANS(E609-Finder!$G$5)/2)^2+COS(RADIANS(Finder!$G$5))*COS(RADIANS(E609))*SIN(RADIANS(F609-Finder!$G$6)/2)^2)),"")</f>
        <v>1260.9755239760559</v>
      </c>
      <c r="R609" s="39">
        <f>IF(ISNUMBER(Q609),IF(Q609&lt;=Finder!$D$7,1,0),0)</f>
        <v>0</v>
      </c>
      <c r="S609" s="39" t="str">
        <f>IF(R609=1,O609+ROW()*0.000000001,"")</f>
        <v/>
      </c>
      <c r="T609" s="39" t="str">
        <f>IF(O609&gt;0,INDEX(Calc!$B$4:$B$11,MATCH(MAX(G609:N609),G609:N609,0)),"-")</f>
        <v>Paddy Straw</v>
      </c>
    </row>
    <row r="610" spans="1:20">
      <c r="A610" s="39">
        <v>607</v>
      </c>
      <c r="B610" s="39" t="s">
        <v>676</v>
      </c>
      <c r="C610" s="39" t="s">
        <v>692</v>
      </c>
      <c r="D610" s="39" t="str">
        <f>B610&amp;"|"&amp;C610</f>
        <v>Telangana|Medchal Malkajgiri</v>
      </c>
      <c r="E610" s="40">
        <v>17.63</v>
      </c>
      <c r="F610" s="40">
        <v>78.48</v>
      </c>
      <c r="G610" s="41">
        <v>5.04</v>
      </c>
      <c r="H610" s="41">
        <v>0</v>
      </c>
      <c r="I610" s="41">
        <v>1.0342</v>
      </c>
      <c r="J610" s="41">
        <v>0</v>
      </c>
      <c r="K610" s="41">
        <v>0</v>
      </c>
      <c r="L610" s="41">
        <v>0</v>
      </c>
      <c r="M610" s="41">
        <v>0</v>
      </c>
      <c r="N610" s="41">
        <v>0</v>
      </c>
      <c r="O610" s="42">
        <f>SUM(G610:N610)</f>
        <v>6.0742000000000003</v>
      </c>
      <c r="P610" s="42">
        <f>SUMPRODUCT(G610:N610,$G$2:$N$2)*1000/Assumptions!$C$15</f>
        <v>2.1516762674486798</v>
      </c>
      <c r="Q610" s="43">
        <f>IF(ISNUMBER(Finder!$G$5),Finder!$D$8*Assumptions!$C$16*2*ASIN(SQRT(SIN(RADIANS(E610-Finder!$G$5)/2)^2+COS(RADIANS(Finder!$G$5))*COS(RADIANS(E610))*SIN(RADIANS(F610-Finder!$G$6)/2)^2)),"")</f>
        <v>1311.4095456014034</v>
      </c>
      <c r="R610" s="39">
        <f>IF(ISNUMBER(Q610),IF(Q610&lt;=Finder!$D$7,1,0),0)</f>
        <v>0</v>
      </c>
      <c r="S610" s="39" t="str">
        <f>IF(R610=1,O610+ROW()*0.000000001,"")</f>
        <v/>
      </c>
      <c r="T610" s="39" t="str">
        <f>IF(O610&gt;0,INDEX(Calc!$B$4:$B$11,MATCH(MAX(G610:N610),G610:N610,0)),"-")</f>
        <v>Paddy Straw</v>
      </c>
    </row>
    <row r="611" spans="1:20">
      <c r="A611" s="39">
        <v>608</v>
      </c>
      <c r="B611" s="39" t="s">
        <v>676</v>
      </c>
      <c r="C611" s="39" t="s">
        <v>693</v>
      </c>
      <c r="D611" s="39" t="str">
        <f>B611&amp;"|"&amp;C611</f>
        <v>Telangana|Mulugu</v>
      </c>
      <c r="E611" s="40">
        <v>18.190000000000001</v>
      </c>
      <c r="F611" s="40">
        <v>79.94</v>
      </c>
      <c r="G611" s="41">
        <v>24.78</v>
      </c>
      <c r="H611" s="41">
        <v>0</v>
      </c>
      <c r="I611" s="41">
        <v>14.883699999999999</v>
      </c>
      <c r="J611" s="41">
        <v>0</v>
      </c>
      <c r="K611" s="41">
        <v>0</v>
      </c>
      <c r="L611" s="41">
        <v>0</v>
      </c>
      <c r="M611" s="41">
        <v>0</v>
      </c>
      <c r="N611" s="41">
        <v>0</v>
      </c>
      <c r="O611" s="42">
        <f>SUM(G611:N611)</f>
        <v>39.663699999999999</v>
      </c>
      <c r="P611" s="42">
        <f>SUMPRODUCT(G611:N611,$G$2:$N$2)*1000/Assumptions!$C$15</f>
        <v>13.461728296774194</v>
      </c>
      <c r="Q611" s="43">
        <f>IF(ISNUMBER(Finder!$G$5),Finder!$D$8*Assumptions!$C$16*2*ASIN(SQRT(SIN(RADIANS(E611-Finder!$G$5)/2)^2+COS(RADIANS(Finder!$G$5))*COS(RADIANS(E611))*SIN(RADIANS(F611-Finder!$G$6)/2)^2)),"")</f>
        <v>1291.904592757611</v>
      </c>
      <c r="R611" s="39">
        <f>IF(ISNUMBER(Q611),IF(Q611&lt;=Finder!$D$7,1,0),0)</f>
        <v>0</v>
      </c>
      <c r="S611" s="39" t="str">
        <f>IF(R611=1,O611+ROW()*0.000000001,"")</f>
        <v/>
      </c>
      <c r="T611" s="39" t="str">
        <f>IF(O611&gt;0,INDEX(Calc!$B$4:$B$11,MATCH(MAX(G611:N611),G611:N611,0)),"-")</f>
        <v>Paddy Straw</v>
      </c>
    </row>
    <row r="612" spans="1:20">
      <c r="A612" s="39">
        <v>609</v>
      </c>
      <c r="B612" s="39" t="s">
        <v>676</v>
      </c>
      <c r="C612" s="39" t="s">
        <v>694</v>
      </c>
      <c r="D612" s="39" t="str">
        <f>B612&amp;"|"&amp;C612</f>
        <v>Telangana|Nagarkurnool</v>
      </c>
      <c r="E612" s="40">
        <v>16.48</v>
      </c>
      <c r="F612" s="40">
        <v>78.31</v>
      </c>
      <c r="G612" s="41">
        <v>52.5</v>
      </c>
      <c r="H612" s="41">
        <v>0</v>
      </c>
      <c r="I612" s="41">
        <v>116.71169999999999</v>
      </c>
      <c r="J612" s="41">
        <v>0</v>
      </c>
      <c r="K612" s="41">
        <v>1.6134999999999999</v>
      </c>
      <c r="L612" s="41">
        <v>0.18820000000000001</v>
      </c>
      <c r="M612" s="41">
        <v>7.0000000000000001E-3</v>
      </c>
      <c r="N612" s="41">
        <v>0</v>
      </c>
      <c r="O612" s="42">
        <f>SUM(G612:N612)</f>
        <v>171.0204</v>
      </c>
      <c r="P612" s="42">
        <f>SUMPRODUCT(G612:N612,$G$2:$N$2)*1000/Assumptions!$C$15</f>
        <v>54.107621436363637</v>
      </c>
      <c r="Q612" s="43">
        <f>IF(ISNUMBER(Finder!$G$5),Finder!$D$8*Assumptions!$C$16*2*ASIN(SQRT(SIN(RADIANS(E612-Finder!$G$5)/2)^2+COS(RADIANS(Finder!$G$5))*COS(RADIANS(E612))*SIN(RADIANS(F612-Finder!$G$6)/2)^2)),"")</f>
        <v>1433.4774015021726</v>
      </c>
      <c r="R612" s="39">
        <f>IF(ISNUMBER(Q612),IF(Q612&lt;=Finder!$D$7,1,0),0)</f>
        <v>0</v>
      </c>
      <c r="S612" s="39" t="str">
        <f>IF(R612=1,O612+ROW()*0.000000001,"")</f>
        <v/>
      </c>
      <c r="T612" s="39" t="str">
        <f>IF(O612&gt;0,INDEX(Calc!$B$4:$B$11,MATCH(MAX(G612:N612),G612:N612,0)),"-")</f>
        <v>Maize Stover</v>
      </c>
    </row>
    <row r="613" spans="1:20">
      <c r="A613" s="39">
        <v>610</v>
      </c>
      <c r="B613" s="39" t="s">
        <v>676</v>
      </c>
      <c r="C613" s="39" t="s">
        <v>695</v>
      </c>
      <c r="D613" s="39" t="str">
        <f>B613&amp;"|"&amp;C613</f>
        <v>Telangana|Nalgonda</v>
      </c>
      <c r="E613" s="40">
        <v>17.05</v>
      </c>
      <c r="F613" s="40">
        <v>79.27</v>
      </c>
      <c r="G613" s="41">
        <v>171.78</v>
      </c>
      <c r="H613" s="41">
        <v>0</v>
      </c>
      <c r="I613" s="41">
        <v>1.0216000000000001</v>
      </c>
      <c r="J613" s="41">
        <v>0</v>
      </c>
      <c r="K613" s="41">
        <v>3.0609000000000002</v>
      </c>
      <c r="L613" s="41">
        <v>0.35709999999999997</v>
      </c>
      <c r="M613" s="41">
        <v>0</v>
      </c>
      <c r="N613" s="41">
        <v>0</v>
      </c>
      <c r="O613" s="42">
        <f>SUM(G613:N613)</f>
        <v>176.21960000000001</v>
      </c>
      <c r="P613" s="42">
        <f>SUMPRODUCT(G613:N613,$G$2:$N$2)*1000/Assumptions!$C$15</f>
        <v>64.26670324486804</v>
      </c>
      <c r="Q613" s="43">
        <f>IF(ISNUMBER(Finder!$G$5),Finder!$D$8*Assumptions!$C$16*2*ASIN(SQRT(SIN(RADIANS(E613-Finder!$G$5)/2)^2+COS(RADIANS(Finder!$G$5))*COS(RADIANS(E613))*SIN(RADIANS(F613-Finder!$G$6)/2)^2)),"")</f>
        <v>1393.3159984246884</v>
      </c>
      <c r="R613" s="39">
        <f>IF(ISNUMBER(Q613),IF(Q613&lt;=Finder!$D$7,1,0),0)</f>
        <v>0</v>
      </c>
      <c r="S613" s="39" t="str">
        <f>IF(R613=1,O613+ROW()*0.000000001,"")</f>
        <v/>
      </c>
      <c r="T613" s="39" t="str">
        <f>IF(O613&gt;0,INDEX(Calc!$B$4:$B$11,MATCH(MAX(G613:N613),G613:N613,0)),"-")</f>
        <v>Paddy Straw</v>
      </c>
    </row>
    <row r="614" spans="1:20">
      <c r="A614" s="39">
        <v>611</v>
      </c>
      <c r="B614" s="39" t="s">
        <v>676</v>
      </c>
      <c r="C614" s="39" t="s">
        <v>696</v>
      </c>
      <c r="D614" s="39" t="str">
        <f>B614&amp;"|"&amp;C614</f>
        <v>Telangana|Narayanpet</v>
      </c>
      <c r="E614" s="40">
        <v>16.739999999999998</v>
      </c>
      <c r="F614" s="40">
        <v>77.5</v>
      </c>
      <c r="G614" s="41">
        <v>53.76</v>
      </c>
      <c r="H614" s="41">
        <v>0</v>
      </c>
      <c r="I614" s="41">
        <v>0.71189999999999998</v>
      </c>
      <c r="J614" s="41">
        <v>0</v>
      </c>
      <c r="K614" s="41">
        <v>18.2531</v>
      </c>
      <c r="L614" s="41">
        <v>2.1295000000000002</v>
      </c>
      <c r="M614" s="41">
        <v>0</v>
      </c>
      <c r="N614" s="41">
        <v>0</v>
      </c>
      <c r="O614" s="42">
        <f>SUM(G614:N614)</f>
        <v>74.854500000000002</v>
      </c>
      <c r="P614" s="42">
        <f>SUMPRODUCT(G614:N614,$G$2:$N$2)*1000/Assumptions!$C$15</f>
        <v>25.875581358651026</v>
      </c>
      <c r="Q614" s="43">
        <f>IF(ISNUMBER(Finder!$G$5),Finder!$D$8*Assumptions!$C$16*2*ASIN(SQRT(SIN(RADIANS(E614-Finder!$G$5)/2)^2+COS(RADIANS(Finder!$G$5))*COS(RADIANS(E614))*SIN(RADIANS(F614-Finder!$G$6)/2)^2)),"")</f>
        <v>1391.8422615322359</v>
      </c>
      <c r="R614" s="39">
        <f>IF(ISNUMBER(Q614),IF(Q614&lt;=Finder!$D$7,1,0),0)</f>
        <v>0</v>
      </c>
      <c r="S614" s="39" t="str">
        <f>IF(R614=1,O614+ROW()*0.000000001,"")</f>
        <v/>
      </c>
      <c r="T614" s="39" t="str">
        <f>IF(O614&gt;0,INDEX(Calc!$B$4:$B$11,MATCH(MAX(G614:N614),G614:N614,0)),"-")</f>
        <v>Paddy Straw</v>
      </c>
    </row>
    <row r="615" spans="1:20">
      <c r="A615" s="39">
        <v>612</v>
      </c>
      <c r="B615" s="39" t="s">
        <v>676</v>
      </c>
      <c r="C615" s="39" t="s">
        <v>697</v>
      </c>
      <c r="D615" s="39" t="str">
        <f>B615&amp;"|"&amp;C615</f>
        <v>Telangana|Nirmal</v>
      </c>
      <c r="E615" s="40">
        <v>19.100000000000001</v>
      </c>
      <c r="F615" s="40">
        <v>78.34</v>
      </c>
      <c r="G615" s="41">
        <v>42</v>
      </c>
      <c r="H615" s="41">
        <v>0</v>
      </c>
      <c r="I615" s="41">
        <v>347.81560000000002</v>
      </c>
      <c r="J615" s="41">
        <v>0</v>
      </c>
      <c r="K615" s="41">
        <v>0</v>
      </c>
      <c r="L615" s="41">
        <v>0</v>
      </c>
      <c r="M615" s="41">
        <v>150.4913</v>
      </c>
      <c r="N615" s="41">
        <v>0</v>
      </c>
      <c r="O615" s="42">
        <f>SUM(G615:N615)</f>
        <v>540.30690000000004</v>
      </c>
      <c r="P615" s="42">
        <f>SUMPRODUCT(G615:N615,$G$2:$N$2)*1000/Assumptions!$C$15</f>
        <v>165.23977970322582</v>
      </c>
      <c r="Q615" s="43">
        <f>IF(ISNUMBER(Finder!$G$5),Finder!$D$8*Assumptions!$C$16*2*ASIN(SQRT(SIN(RADIANS(E615-Finder!$G$5)/2)^2+COS(RADIANS(Finder!$G$5))*COS(RADIANS(E615))*SIN(RADIANS(F615-Finder!$G$6)/2)^2)),"")</f>
        <v>1148.5766425197969</v>
      </c>
      <c r="R615" s="39">
        <f>IF(ISNUMBER(Q615),IF(Q615&lt;=Finder!$D$7,1,0),0)</f>
        <v>0</v>
      </c>
      <c r="S615" s="39" t="str">
        <f>IF(R615=1,O615+ROW()*0.000000001,"")</f>
        <v/>
      </c>
      <c r="T615" s="39" t="str">
        <f>IF(O615&gt;0,INDEX(Calc!$B$4:$B$11,MATCH(MAX(G615:N615),G615:N615,0)),"-")</f>
        <v>Maize Stover</v>
      </c>
    </row>
    <row r="616" spans="1:20">
      <c r="A616" s="39">
        <v>613</v>
      </c>
      <c r="B616" s="39" t="s">
        <v>676</v>
      </c>
      <c r="C616" s="39" t="s">
        <v>698</v>
      </c>
      <c r="D616" s="39" t="str">
        <f>B616&amp;"|"&amp;C616</f>
        <v>Telangana|Nizamabad</v>
      </c>
      <c r="E616" s="40">
        <v>18.670000000000002</v>
      </c>
      <c r="F616" s="40">
        <v>78.099999999999994</v>
      </c>
      <c r="G616" s="41">
        <v>137.34</v>
      </c>
      <c r="H616" s="41">
        <v>0</v>
      </c>
      <c r="I616" s="41">
        <v>180.3091</v>
      </c>
      <c r="J616" s="41">
        <v>0</v>
      </c>
      <c r="K616" s="41">
        <v>10.678000000000001</v>
      </c>
      <c r="L616" s="41">
        <v>1.2458</v>
      </c>
      <c r="M616" s="41">
        <v>77.105000000000004</v>
      </c>
      <c r="N616" s="41">
        <v>0</v>
      </c>
      <c r="O616" s="42">
        <f>SUM(G616:N616)</f>
        <v>406.67789999999997</v>
      </c>
      <c r="P616" s="42">
        <f>SUMPRODUCT(G616:N616,$G$2:$N$2)*1000/Assumptions!$C$15</f>
        <v>131.22181990909093</v>
      </c>
      <c r="Q616" s="43">
        <f>IF(ISNUMBER(Finder!$G$5),Finder!$D$8*Assumptions!$C$16*2*ASIN(SQRT(SIN(RADIANS(E616-Finder!$G$5)/2)^2+COS(RADIANS(Finder!$G$5))*COS(RADIANS(E616))*SIN(RADIANS(F616-Finder!$G$6)/2)^2)),"")</f>
        <v>1190.0620696526582</v>
      </c>
      <c r="R616" s="39">
        <f>IF(ISNUMBER(Q616),IF(Q616&lt;=Finder!$D$7,1,0),0)</f>
        <v>0</v>
      </c>
      <c r="S616" s="39" t="str">
        <f>IF(R616=1,O616+ROW()*0.000000001,"")</f>
        <v/>
      </c>
      <c r="T616" s="39" t="str">
        <f>IF(O616&gt;0,INDEX(Calc!$B$4:$B$11,MATCH(MAX(G616:N616),G616:N616,0)),"-")</f>
        <v>Maize Stover</v>
      </c>
    </row>
    <row r="617" spans="1:20">
      <c r="A617" s="39">
        <v>614</v>
      </c>
      <c r="B617" s="39" t="s">
        <v>676</v>
      </c>
      <c r="C617" s="39" t="s">
        <v>699</v>
      </c>
      <c r="D617" s="39" t="str">
        <f>B617&amp;"|"&amp;C617</f>
        <v>Telangana|Peddapalli</v>
      </c>
      <c r="E617" s="40">
        <v>18.61</v>
      </c>
      <c r="F617" s="40">
        <v>79.37</v>
      </c>
      <c r="G617" s="41">
        <v>66.78</v>
      </c>
      <c r="H617" s="41">
        <v>0</v>
      </c>
      <c r="I617" s="41">
        <v>37.487099999999998</v>
      </c>
      <c r="J617" s="41">
        <v>0</v>
      </c>
      <c r="K617" s="41">
        <v>0</v>
      </c>
      <c r="L617" s="41">
        <v>0</v>
      </c>
      <c r="M617" s="41">
        <v>1.5699999999999999E-2</v>
      </c>
      <c r="N617" s="41">
        <v>0</v>
      </c>
      <c r="O617" s="42">
        <f>SUM(G617:N617)</f>
        <v>104.28279999999999</v>
      </c>
      <c r="P617" s="42">
        <f>SUMPRODUCT(G617:N617,$G$2:$N$2)*1000/Assumptions!$C$15</f>
        <v>35.511474083284455</v>
      </c>
      <c r="Q617" s="43">
        <f>IF(ISNUMBER(Finder!$G$5),Finder!$D$8*Assumptions!$C$16*2*ASIN(SQRT(SIN(RADIANS(E617-Finder!$G$5)/2)^2+COS(RADIANS(Finder!$G$5))*COS(RADIANS(E617))*SIN(RADIANS(F617-Finder!$G$6)/2)^2)),"")</f>
        <v>1229.094906062923</v>
      </c>
      <c r="R617" s="39">
        <f>IF(ISNUMBER(Q617),IF(Q617&lt;=Finder!$D$7,1,0),0)</f>
        <v>0</v>
      </c>
      <c r="S617" s="39" t="str">
        <f>IF(R617=1,O617+ROW()*0.000000001,"")</f>
        <v/>
      </c>
      <c r="T617" s="39" t="str">
        <f>IF(O617&gt;0,INDEX(Calc!$B$4:$B$11,MATCH(MAX(G617:N617),G617:N617,0)),"-")</f>
        <v>Paddy Straw</v>
      </c>
    </row>
    <row r="618" spans="1:20">
      <c r="A618" s="39">
        <v>615</v>
      </c>
      <c r="B618" s="39" t="s">
        <v>676</v>
      </c>
      <c r="C618" s="39" t="s">
        <v>700</v>
      </c>
      <c r="D618" s="39" t="str">
        <f>B618&amp;"|"&amp;C618</f>
        <v>Telangana|Rajanna Sircilla</v>
      </c>
      <c r="E618" s="40">
        <v>18.39</v>
      </c>
      <c r="F618" s="40">
        <v>78.81</v>
      </c>
      <c r="G618" s="41">
        <v>57.96</v>
      </c>
      <c r="H618" s="41">
        <v>0</v>
      </c>
      <c r="I618" s="41">
        <v>6.1844999999999999</v>
      </c>
      <c r="J618" s="41">
        <v>0</v>
      </c>
      <c r="K618" s="41">
        <v>2.7961</v>
      </c>
      <c r="L618" s="41">
        <v>0.32619999999999999</v>
      </c>
      <c r="M618" s="41">
        <v>1.8E-3</v>
      </c>
      <c r="N618" s="41">
        <v>0</v>
      </c>
      <c r="O618" s="42">
        <f>SUM(G618:N618)</f>
        <v>67.268599999999992</v>
      </c>
      <c r="P618" s="42">
        <f>SUMPRODUCT(G618:N618,$G$2:$N$2)*1000/Assumptions!$C$15</f>
        <v>23.97843183049854</v>
      </c>
      <c r="Q618" s="43">
        <f>IF(ISNUMBER(Finder!$G$5),Finder!$D$8*Assumptions!$C$16*2*ASIN(SQRT(SIN(RADIANS(E618-Finder!$G$5)/2)^2+COS(RADIANS(Finder!$G$5))*COS(RADIANS(E618))*SIN(RADIANS(F618-Finder!$G$6)/2)^2)),"")</f>
        <v>1236.9002078216172</v>
      </c>
      <c r="R618" s="39">
        <f>IF(ISNUMBER(Q618),IF(Q618&lt;=Finder!$D$7,1,0),0)</f>
        <v>0</v>
      </c>
      <c r="S618" s="39" t="str">
        <f>IF(R618=1,O618+ROW()*0.000000001,"")</f>
        <v/>
      </c>
      <c r="T618" s="39" t="str">
        <f>IF(O618&gt;0,INDEX(Calc!$B$4:$B$11,MATCH(MAX(G618:N618),G618:N618,0)),"-")</f>
        <v>Paddy Straw</v>
      </c>
    </row>
    <row r="619" spans="1:20">
      <c r="A619" s="39">
        <v>616</v>
      </c>
      <c r="B619" s="39" t="s">
        <v>676</v>
      </c>
      <c r="C619" s="39" t="s">
        <v>701</v>
      </c>
      <c r="D619" s="39" t="str">
        <f>B619&amp;"|"&amp;C619</f>
        <v>Telangana|Ranga Reddy</v>
      </c>
      <c r="E619" s="40">
        <v>17.239999999999998</v>
      </c>
      <c r="F619" s="40">
        <v>78.3</v>
      </c>
      <c r="G619" s="41">
        <v>39.479999999999997</v>
      </c>
      <c r="H619" s="41">
        <v>0</v>
      </c>
      <c r="I619" s="41">
        <v>147.8116</v>
      </c>
      <c r="J619" s="41">
        <v>0</v>
      </c>
      <c r="K619" s="41">
        <v>0.4788</v>
      </c>
      <c r="L619" s="41">
        <v>5.5899999999999998E-2</v>
      </c>
      <c r="M619" s="41">
        <v>0.112</v>
      </c>
      <c r="N619" s="41">
        <v>0</v>
      </c>
      <c r="O619" s="42">
        <f>SUM(G619:N619)</f>
        <v>187.9383</v>
      </c>
      <c r="P619" s="42">
        <f>SUMPRODUCT(G619:N619,$G$2:$N$2)*1000/Assumptions!$C$15</f>
        <v>58.146763180351897</v>
      </c>
      <c r="Q619" s="43">
        <f>IF(ISNUMBER(Finder!$G$5),Finder!$D$8*Assumptions!$C$16*2*ASIN(SQRT(SIN(RADIANS(E619-Finder!$G$5)/2)^2+COS(RADIANS(Finder!$G$5))*COS(RADIANS(E619))*SIN(RADIANS(F619-Finder!$G$6)/2)^2)),"")</f>
        <v>1350.1843872401712</v>
      </c>
      <c r="R619" s="39">
        <f>IF(ISNUMBER(Q619),IF(Q619&lt;=Finder!$D$7,1,0),0)</f>
        <v>0</v>
      </c>
      <c r="S619" s="39" t="str">
        <f>IF(R619=1,O619+ROW()*0.000000001,"")</f>
        <v/>
      </c>
      <c r="T619" s="39" t="str">
        <f>IF(O619&gt;0,INDEX(Calc!$B$4:$B$11,MATCH(MAX(G619:N619),G619:N619,0)),"-")</f>
        <v>Maize Stover</v>
      </c>
    </row>
    <row r="620" spans="1:20">
      <c r="A620" s="39">
        <v>617</v>
      </c>
      <c r="B620" s="39" t="s">
        <v>676</v>
      </c>
      <c r="C620" s="39" t="s">
        <v>702</v>
      </c>
      <c r="D620" s="39" t="str">
        <f>B620&amp;"|"&amp;C620</f>
        <v>Telangana|Sangareddy</v>
      </c>
      <c r="E620" s="40">
        <v>17.62</v>
      </c>
      <c r="F620" s="40">
        <v>78.09</v>
      </c>
      <c r="G620" s="41">
        <v>39.9</v>
      </c>
      <c r="H620" s="41">
        <v>0</v>
      </c>
      <c r="I620" s="41">
        <v>39.795000000000002</v>
      </c>
      <c r="J620" s="41">
        <v>0</v>
      </c>
      <c r="K620" s="41">
        <v>178.68709999999999</v>
      </c>
      <c r="L620" s="41">
        <v>20.846800000000002</v>
      </c>
      <c r="M620" s="41">
        <v>88.905199999999994</v>
      </c>
      <c r="N620" s="41">
        <v>0</v>
      </c>
      <c r="O620" s="42">
        <f>SUM(G620:N620)</f>
        <v>368.13409999999993</v>
      </c>
      <c r="P620" s="42">
        <f>SUMPRODUCT(G620:N620,$G$2:$N$2)*1000/Assumptions!$C$15</f>
        <v>112.75459716011729</v>
      </c>
      <c r="Q620" s="43">
        <f>IF(ISNUMBER(Finder!$G$5),Finder!$D$8*Assumptions!$C$16*2*ASIN(SQRT(SIN(RADIANS(E620-Finder!$G$5)/2)^2+COS(RADIANS(Finder!$G$5))*COS(RADIANS(E620))*SIN(RADIANS(F620-Finder!$G$6)/2)^2)),"")</f>
        <v>1304.5769715087913</v>
      </c>
      <c r="R620" s="39">
        <f>IF(ISNUMBER(Q620),IF(Q620&lt;=Finder!$D$7,1,0),0)</f>
        <v>0</v>
      </c>
      <c r="S620" s="39" t="str">
        <f>IF(R620=1,O620+ROW()*0.000000001,"")</f>
        <v/>
      </c>
      <c r="T620" s="39" t="str">
        <f>IF(O620&gt;0,INDEX(Calc!$B$4:$B$11,MATCH(MAX(G620:N620),G620:N620,0)),"-")</f>
        <v>Cane Trash</v>
      </c>
    </row>
    <row r="621" spans="1:20">
      <c r="A621" s="39">
        <v>618</v>
      </c>
      <c r="B621" s="39" t="s">
        <v>676</v>
      </c>
      <c r="C621" s="39" t="s">
        <v>703</v>
      </c>
      <c r="D621" s="39" t="str">
        <f>B621&amp;"|"&amp;C621</f>
        <v>Telangana|Siddipet</v>
      </c>
      <c r="E621" s="40">
        <v>18.100000000000001</v>
      </c>
      <c r="F621" s="40">
        <v>78.849999999999994</v>
      </c>
      <c r="G621" s="41">
        <v>118.02</v>
      </c>
      <c r="H621" s="41">
        <v>0</v>
      </c>
      <c r="I621" s="41">
        <v>116.8681</v>
      </c>
      <c r="J621" s="41">
        <v>0</v>
      </c>
      <c r="K621" s="41">
        <v>3.0926</v>
      </c>
      <c r="L621" s="41">
        <v>0.36080000000000001</v>
      </c>
      <c r="M621" s="41">
        <v>4.2000000000000003E-2</v>
      </c>
      <c r="N621" s="41">
        <v>0</v>
      </c>
      <c r="O621" s="42">
        <f>SUM(G621:N621)</f>
        <v>238.38350000000003</v>
      </c>
      <c r="P621" s="42">
        <f>SUMPRODUCT(G621:N621,$G$2:$N$2)*1000/Assumptions!$C$15</f>
        <v>78.664295004105568</v>
      </c>
      <c r="Q621" s="43">
        <f>IF(ISNUMBER(Finder!$G$5),Finder!$D$8*Assumptions!$C$16*2*ASIN(SQRT(SIN(RADIANS(E621-Finder!$G$5)/2)^2+COS(RADIANS(Finder!$G$5))*COS(RADIANS(E621))*SIN(RADIANS(F621-Finder!$G$6)/2)^2)),"")</f>
        <v>1269.2086720790237</v>
      </c>
      <c r="R621" s="39">
        <f>IF(ISNUMBER(Q621),IF(Q621&lt;=Finder!$D$7,1,0),0)</f>
        <v>0</v>
      </c>
      <c r="S621" s="39" t="str">
        <f>IF(R621=1,O621+ROW()*0.000000001,"")</f>
        <v/>
      </c>
      <c r="T621" s="39" t="str">
        <f>IF(O621&gt;0,INDEX(Calc!$B$4:$B$11,MATCH(MAX(G621:N621),G621:N621,0)),"-")</f>
        <v>Paddy Straw</v>
      </c>
    </row>
    <row r="622" spans="1:20">
      <c r="A622" s="39">
        <v>619</v>
      </c>
      <c r="B622" s="39" t="s">
        <v>676</v>
      </c>
      <c r="C622" s="39" t="s">
        <v>704</v>
      </c>
      <c r="D622" s="39" t="str">
        <f>B622&amp;"|"&amp;C622</f>
        <v>Telangana|Suryapet</v>
      </c>
      <c r="E622" s="40">
        <v>17.14</v>
      </c>
      <c r="F622" s="40">
        <v>79.62</v>
      </c>
      <c r="G622" s="41">
        <v>156.24</v>
      </c>
      <c r="H622" s="41">
        <v>0</v>
      </c>
      <c r="I622" s="41">
        <v>1.4668000000000001</v>
      </c>
      <c r="J622" s="41">
        <v>0</v>
      </c>
      <c r="K622" s="41">
        <v>4.8601999999999999</v>
      </c>
      <c r="L622" s="41">
        <v>0.56699999999999995</v>
      </c>
      <c r="M622" s="41">
        <v>0</v>
      </c>
      <c r="N622" s="41">
        <v>0</v>
      </c>
      <c r="O622" s="42">
        <f>SUM(G622:N622)</f>
        <v>163.13400000000001</v>
      </c>
      <c r="P622" s="42">
        <f>SUMPRODUCT(G622:N622,$G$2:$N$2)*1000/Assumptions!$C$15</f>
        <v>59.288944676246338</v>
      </c>
      <c r="Q622" s="43">
        <f>IF(ISNUMBER(Finder!$G$5),Finder!$D$8*Assumptions!$C$16*2*ASIN(SQRT(SIN(RADIANS(E622-Finder!$G$5)/2)^2+COS(RADIANS(Finder!$G$5))*COS(RADIANS(E622))*SIN(RADIANS(F622-Finder!$G$6)/2)^2)),"")</f>
        <v>1393.3856472447749</v>
      </c>
      <c r="R622" s="39">
        <f>IF(ISNUMBER(Q622),IF(Q622&lt;=Finder!$D$7,1,0),0)</f>
        <v>0</v>
      </c>
      <c r="S622" s="39" t="str">
        <f>IF(R622=1,O622+ROW()*0.000000001,"")</f>
        <v/>
      </c>
      <c r="T622" s="39" t="str">
        <f>IF(O622&gt;0,INDEX(Calc!$B$4:$B$11,MATCH(MAX(G622:N622),G622:N622,0)),"-")</f>
        <v>Paddy Straw</v>
      </c>
    </row>
    <row r="623" spans="1:20">
      <c r="A623" s="39">
        <v>620</v>
      </c>
      <c r="B623" s="39" t="s">
        <v>676</v>
      </c>
      <c r="C623" s="39" t="s">
        <v>705</v>
      </c>
      <c r="D623" s="39" t="str">
        <f>B623&amp;"|"&amp;C623</f>
        <v>Telangana|Vikarabad</v>
      </c>
      <c r="E623" s="40">
        <v>17.34</v>
      </c>
      <c r="F623" s="40">
        <v>77.900000000000006</v>
      </c>
      <c r="G623" s="41">
        <v>36.96</v>
      </c>
      <c r="H623" s="41">
        <v>0</v>
      </c>
      <c r="I623" s="41">
        <v>127.0017</v>
      </c>
      <c r="J623" s="41">
        <v>0</v>
      </c>
      <c r="K623" s="41">
        <v>34.221200000000003</v>
      </c>
      <c r="L623" s="41">
        <v>3.9925000000000002</v>
      </c>
      <c r="M623" s="41">
        <v>2.8472</v>
      </c>
      <c r="N623" s="41">
        <v>0</v>
      </c>
      <c r="O623" s="42">
        <f>SUM(G623:N623)</f>
        <v>205.02260000000001</v>
      </c>
      <c r="P623" s="42">
        <f>SUMPRODUCT(G623:N623,$G$2:$N$2)*1000/Assumptions!$C$15</f>
        <v>62.982830581524929</v>
      </c>
      <c r="Q623" s="43">
        <f>IF(ISNUMBER(Finder!$G$5),Finder!$D$8*Assumptions!$C$16*2*ASIN(SQRT(SIN(RADIANS(E623-Finder!$G$5)/2)^2+COS(RADIANS(Finder!$G$5))*COS(RADIANS(E623))*SIN(RADIANS(F623-Finder!$G$6)/2)^2)),"")</f>
        <v>1331.863138311591</v>
      </c>
      <c r="R623" s="39">
        <f>IF(ISNUMBER(Q623),IF(Q623&lt;=Finder!$D$7,1,0),0)</f>
        <v>0</v>
      </c>
      <c r="S623" s="39" t="str">
        <f>IF(R623=1,O623+ROW()*0.000000001,"")</f>
        <v/>
      </c>
      <c r="T623" s="39" t="str">
        <f>IF(O623&gt;0,INDEX(Calc!$B$4:$B$11,MATCH(MAX(G623:N623),G623:N623,0)),"-")</f>
        <v>Maize Stover</v>
      </c>
    </row>
    <row r="624" spans="1:20">
      <c r="A624" s="39">
        <v>621</v>
      </c>
      <c r="B624" s="39" t="s">
        <v>676</v>
      </c>
      <c r="C624" s="39" t="s">
        <v>706</v>
      </c>
      <c r="D624" s="39" t="str">
        <f>B624&amp;"|"&amp;C624</f>
        <v>Telangana|Wanaparthy</v>
      </c>
      <c r="E624" s="40">
        <v>16.36</v>
      </c>
      <c r="F624" s="40">
        <v>78.06</v>
      </c>
      <c r="G624" s="41">
        <v>59.64</v>
      </c>
      <c r="H624" s="41">
        <v>0</v>
      </c>
      <c r="I624" s="41">
        <v>32.429200000000002</v>
      </c>
      <c r="J624" s="41">
        <v>0</v>
      </c>
      <c r="K624" s="41">
        <v>29.967099999999999</v>
      </c>
      <c r="L624" s="41">
        <v>3.4962</v>
      </c>
      <c r="M624" s="41">
        <v>0.1978</v>
      </c>
      <c r="N624" s="41">
        <v>0</v>
      </c>
      <c r="O624" s="42">
        <f>SUM(G624:N624)</f>
        <v>125.7303</v>
      </c>
      <c r="P624" s="42">
        <f>SUMPRODUCT(G624:N624,$G$2:$N$2)*1000/Assumptions!$C$15</f>
        <v>41.249026561290329</v>
      </c>
      <c r="Q624" s="43">
        <f>IF(ISNUMBER(Finder!$G$5),Finder!$D$8*Assumptions!$C$16*2*ASIN(SQRT(SIN(RADIANS(E624-Finder!$G$5)/2)^2+COS(RADIANS(Finder!$G$5))*COS(RADIANS(E624))*SIN(RADIANS(F624-Finder!$G$6)/2)^2)),"")</f>
        <v>1442.1549494924852</v>
      </c>
      <c r="R624" s="39">
        <f>IF(ISNUMBER(Q624),IF(Q624&lt;=Finder!$D$7,1,0),0)</f>
        <v>0</v>
      </c>
      <c r="S624" s="39" t="str">
        <f>IF(R624=1,O624+ROW()*0.000000001,"")</f>
        <v/>
      </c>
      <c r="T624" s="39" t="str">
        <f>IF(O624&gt;0,INDEX(Calc!$B$4:$B$11,MATCH(MAX(G624:N624),G624:N624,0)),"-")</f>
        <v>Paddy Straw</v>
      </c>
    </row>
    <row r="625" spans="1:20">
      <c r="A625" s="39">
        <v>622</v>
      </c>
      <c r="B625" s="39" t="s">
        <v>676</v>
      </c>
      <c r="C625" s="39" t="s">
        <v>707</v>
      </c>
      <c r="D625" s="39" t="str">
        <f>B625&amp;"|"&amp;C625</f>
        <v>Telangana|Warangal</v>
      </c>
      <c r="E625" s="40">
        <v>17.97</v>
      </c>
      <c r="F625" s="40">
        <v>79.59</v>
      </c>
      <c r="G625" s="41">
        <v>38.22</v>
      </c>
      <c r="H625" s="41">
        <v>0</v>
      </c>
      <c r="I625" s="41">
        <v>259.0224</v>
      </c>
      <c r="J625" s="41">
        <v>0</v>
      </c>
      <c r="K625" s="41">
        <v>0</v>
      </c>
      <c r="L625" s="41">
        <v>0</v>
      </c>
      <c r="M625" s="41">
        <v>8.5800000000000001E-2</v>
      </c>
      <c r="N625" s="41">
        <v>0</v>
      </c>
      <c r="O625" s="42">
        <f>SUM(G625:N625)</f>
        <v>297.32819999999998</v>
      </c>
      <c r="P625" s="42">
        <f>SUMPRODUCT(G625:N625,$G$2:$N$2)*1000/Assumptions!$C$15</f>
        <v>90.23647878475073</v>
      </c>
      <c r="Q625" s="43">
        <f>IF(ISNUMBER(Finder!$G$5),Finder!$D$8*Assumptions!$C$16*2*ASIN(SQRT(SIN(RADIANS(E625-Finder!$G$5)/2)^2+COS(RADIANS(Finder!$G$5))*COS(RADIANS(E625))*SIN(RADIANS(F625-Finder!$G$6)/2)^2)),"")</f>
        <v>1303.9372806129784</v>
      </c>
      <c r="R625" s="39">
        <f>IF(ISNUMBER(Q625),IF(Q625&lt;=Finder!$D$7,1,0),0)</f>
        <v>0</v>
      </c>
      <c r="S625" s="39" t="str">
        <f>IF(R625=1,O625+ROW()*0.000000001,"")</f>
        <v/>
      </c>
      <c r="T625" s="39" t="str">
        <f>IF(O625&gt;0,INDEX(Calc!$B$4:$B$11,MATCH(MAX(G625:N625),G625:N625,0)),"-")</f>
        <v>Maize Stover</v>
      </c>
    </row>
    <row r="626" spans="1:20">
      <c r="A626" s="39">
        <v>623</v>
      </c>
      <c r="B626" s="39" t="s">
        <v>676</v>
      </c>
      <c r="C626" s="39" t="s">
        <v>708</v>
      </c>
      <c r="D626" s="39" t="str">
        <f>B626&amp;"|"&amp;C626</f>
        <v>Telangana|Yadadri Bhuvanagiri</v>
      </c>
      <c r="E626" s="40">
        <v>17.510000000000002</v>
      </c>
      <c r="F626" s="40">
        <v>78.89</v>
      </c>
      <c r="G626" s="41">
        <v>91.56</v>
      </c>
      <c r="H626" s="41">
        <v>0</v>
      </c>
      <c r="I626" s="41">
        <v>0.29709999999999998</v>
      </c>
      <c r="J626" s="41">
        <v>0</v>
      </c>
      <c r="K626" s="41">
        <v>0.32290000000000002</v>
      </c>
      <c r="L626" s="41">
        <v>3.7699999999999997E-2</v>
      </c>
      <c r="M626" s="41">
        <v>1.8E-3</v>
      </c>
      <c r="N626" s="41">
        <v>0</v>
      </c>
      <c r="O626" s="42">
        <f>SUM(G626:N626)</f>
        <v>92.219500000000011</v>
      </c>
      <c r="P626" s="42">
        <f>SUMPRODUCT(G626:N626,$G$2:$N$2)*1000/Assumptions!$C$15</f>
        <v>33.755117341642226</v>
      </c>
      <c r="Q626" s="43">
        <f>IF(ISNUMBER(Finder!$G$5),Finder!$D$8*Assumptions!$C$16*2*ASIN(SQRT(SIN(RADIANS(E626-Finder!$G$5)/2)^2+COS(RADIANS(Finder!$G$5))*COS(RADIANS(E626))*SIN(RADIANS(F626-Finder!$G$6)/2)^2)),"")</f>
        <v>1333.9528500116885</v>
      </c>
      <c r="R626" s="39">
        <f>IF(ISNUMBER(Q626),IF(Q626&lt;=Finder!$D$7,1,0),0)</f>
        <v>0</v>
      </c>
      <c r="S626" s="39" t="str">
        <f>IF(R626=1,O626+ROW()*0.000000001,"")</f>
        <v/>
      </c>
      <c r="T626" s="39" t="str">
        <f>IF(O626&gt;0,INDEX(Calc!$B$4:$B$11,MATCH(MAX(G626:N626),G626:N626,0)),"-")</f>
        <v>Paddy Straw</v>
      </c>
    </row>
    <row r="627" spans="1:20">
      <c r="A627" s="39">
        <v>624</v>
      </c>
      <c r="B627" s="39" t="s">
        <v>709</v>
      </c>
      <c r="C627" s="39" t="s">
        <v>710</v>
      </c>
      <c r="D627" s="39" t="str">
        <f>B627&amp;"|"&amp;C627</f>
        <v>The Dadra And Nagar Haveli And Daman And Diu|Dadra And Nagar Haveli</v>
      </c>
      <c r="E627" s="40">
        <v>20.27</v>
      </c>
      <c r="F627" s="40">
        <v>73.010000000000005</v>
      </c>
      <c r="G627" s="41">
        <v>0</v>
      </c>
      <c r="H627" s="41">
        <v>0</v>
      </c>
      <c r="I627" s="41">
        <v>0</v>
      </c>
      <c r="J627" s="41">
        <v>0</v>
      </c>
      <c r="K627" s="41">
        <v>0</v>
      </c>
      <c r="L627" s="41">
        <v>0</v>
      </c>
      <c r="M627" s="41">
        <v>0</v>
      </c>
      <c r="N627" s="41">
        <v>0</v>
      </c>
      <c r="O627" s="42">
        <f>SUM(G627:N627)</f>
        <v>0</v>
      </c>
      <c r="P627" s="42">
        <f>SUMPRODUCT(G627:N627,$G$2:$N$2)*1000/Assumptions!$C$15</f>
        <v>0</v>
      </c>
      <c r="Q627" s="43">
        <f>IF(ISNUMBER(Finder!$G$5),Finder!$D$8*Assumptions!$C$16*2*ASIN(SQRT(SIN(RADIANS(E627-Finder!$G$5)/2)^2+COS(RADIANS(Finder!$G$5))*COS(RADIANS(E627))*SIN(RADIANS(F627-Finder!$G$6)/2)^2)),"")</f>
        <v>1024.5337556147572</v>
      </c>
      <c r="R627" s="39">
        <f>IF(ISNUMBER(Q627),IF(Q627&lt;=Finder!$D$7,1,0),0)</f>
        <v>0</v>
      </c>
      <c r="S627" s="39" t="str">
        <f>IF(R627=1,O627+ROW()*0.000000001,"")</f>
        <v/>
      </c>
      <c r="T627" s="39" t="str">
        <f>IF(O627&gt;0,INDEX(Calc!$B$4:$B$11,MATCH(MAX(G627:N627),G627:N627,0)),"-")</f>
        <v>-</v>
      </c>
    </row>
    <row r="628" spans="1:20">
      <c r="A628" s="39">
        <v>625</v>
      </c>
      <c r="B628" s="39" t="s">
        <v>709</v>
      </c>
      <c r="C628" s="39" t="s">
        <v>711</v>
      </c>
      <c r="D628" s="39" t="str">
        <f>B628&amp;"|"&amp;C628</f>
        <v>The Dadra And Nagar Haveli And Daman And Diu|Daman</v>
      </c>
      <c r="E628" s="40">
        <v>20.399999999999999</v>
      </c>
      <c r="F628" s="40">
        <v>72.83</v>
      </c>
      <c r="G628" s="41">
        <v>0</v>
      </c>
      <c r="H628" s="41">
        <v>0</v>
      </c>
      <c r="I628" s="41">
        <v>0</v>
      </c>
      <c r="J628" s="41">
        <v>0</v>
      </c>
      <c r="K628" s="41">
        <v>0</v>
      </c>
      <c r="L628" s="41">
        <v>0</v>
      </c>
      <c r="M628" s="41">
        <v>0</v>
      </c>
      <c r="N628" s="41">
        <v>0</v>
      </c>
      <c r="O628" s="42">
        <f>SUM(G628:N628)</f>
        <v>0</v>
      </c>
      <c r="P628" s="42">
        <f>SUMPRODUCT(G628:N628,$G$2:$N$2)*1000/Assumptions!$C$15</f>
        <v>0</v>
      </c>
      <c r="Q628" s="43">
        <f>IF(ISNUMBER(Finder!$G$5),Finder!$D$8*Assumptions!$C$16*2*ASIN(SQRT(SIN(RADIANS(E628-Finder!$G$5)/2)^2+COS(RADIANS(Finder!$G$5))*COS(RADIANS(E628))*SIN(RADIANS(F628-Finder!$G$6)/2)^2)),"")</f>
        <v>1015.6285072504286</v>
      </c>
      <c r="R628" s="39">
        <f>IF(ISNUMBER(Q628),IF(Q628&lt;=Finder!$D$7,1,0),0)</f>
        <v>0</v>
      </c>
      <c r="S628" s="39" t="str">
        <f>IF(R628=1,O628+ROW()*0.000000001,"")</f>
        <v/>
      </c>
      <c r="T628" s="39" t="str">
        <f>IF(O628&gt;0,INDEX(Calc!$B$4:$B$11,MATCH(MAX(G628:N628),G628:N628,0)),"-")</f>
        <v>-</v>
      </c>
    </row>
    <row r="629" spans="1:20">
      <c r="A629" s="39">
        <v>626</v>
      </c>
      <c r="B629" s="39" t="s">
        <v>709</v>
      </c>
      <c r="C629" s="39" t="s">
        <v>712</v>
      </c>
      <c r="D629" s="39" t="str">
        <f>B629&amp;"|"&amp;C629</f>
        <v>The Dadra And Nagar Haveli And Daman And Diu|Diu</v>
      </c>
      <c r="E629" s="40">
        <v>20.71</v>
      </c>
      <c r="F629" s="40">
        <v>70.98</v>
      </c>
      <c r="G629" s="41">
        <v>0</v>
      </c>
      <c r="H629" s="41">
        <v>0</v>
      </c>
      <c r="I629" s="41">
        <v>0</v>
      </c>
      <c r="J629" s="41">
        <v>0</v>
      </c>
      <c r="K629" s="41">
        <v>0</v>
      </c>
      <c r="L629" s="41">
        <v>0</v>
      </c>
      <c r="M629" s="41">
        <v>0</v>
      </c>
      <c r="N629" s="41">
        <v>0</v>
      </c>
      <c r="O629" s="42">
        <f>SUM(G629:N629)</f>
        <v>0</v>
      </c>
      <c r="P629" s="42">
        <f>SUMPRODUCT(G629:N629,$G$2:$N$2)*1000/Assumptions!$C$15</f>
        <v>0</v>
      </c>
      <c r="Q629" s="43">
        <f>IF(ISNUMBER(Finder!$G$5),Finder!$D$8*Assumptions!$C$16*2*ASIN(SQRT(SIN(RADIANS(E629-Finder!$G$5)/2)^2+COS(RADIANS(Finder!$G$5))*COS(RADIANS(E629))*SIN(RADIANS(F629-Finder!$G$6)/2)^2)),"")</f>
        <v>1052.848372040716</v>
      </c>
      <c r="R629" s="39">
        <f>IF(ISNUMBER(Q629),IF(Q629&lt;=Finder!$D$7,1,0),0)</f>
        <v>0</v>
      </c>
      <c r="S629" s="39" t="str">
        <f>IF(R629=1,O629+ROW()*0.000000001,"")</f>
        <v/>
      </c>
      <c r="T629" s="39" t="str">
        <f>IF(O629&gt;0,INDEX(Calc!$B$4:$B$11,MATCH(MAX(G629:N629),G629:N629,0)),"-")</f>
        <v>-</v>
      </c>
    </row>
    <row r="630" spans="1:20">
      <c r="A630" s="39">
        <v>627</v>
      </c>
      <c r="B630" s="39" t="s">
        <v>713</v>
      </c>
      <c r="C630" s="39" t="s">
        <v>714</v>
      </c>
      <c r="D630" s="39" t="str">
        <f>B630&amp;"|"&amp;C630</f>
        <v>Tripura|Dhalai</v>
      </c>
      <c r="E630" s="40">
        <v>23.94</v>
      </c>
      <c r="F630" s="40">
        <v>91.86</v>
      </c>
      <c r="G630" s="41">
        <v>10.5</v>
      </c>
      <c r="H630" s="41">
        <v>0</v>
      </c>
      <c r="I630" s="41">
        <v>8.8262999999999998</v>
      </c>
      <c r="J630" s="41">
        <v>0.48139999999999999</v>
      </c>
      <c r="K630" s="41">
        <v>1.1294999999999999</v>
      </c>
      <c r="L630" s="41">
        <v>0.1318</v>
      </c>
      <c r="M630" s="41">
        <v>0</v>
      </c>
      <c r="N630" s="41">
        <v>0</v>
      </c>
      <c r="O630" s="42">
        <f>SUM(G630:N630)</f>
        <v>21.068999999999999</v>
      </c>
      <c r="P630" s="42">
        <f>SUMPRODUCT(G630:N630,$G$2:$N$2)*1000/Assumptions!$C$15</f>
        <v>6.9557953096774208</v>
      </c>
      <c r="Q630" s="43">
        <f>IF(ISNUMBER(Finder!$G$5),Finder!$D$8*Assumptions!$C$16*2*ASIN(SQRT(SIN(RADIANS(E630-Finder!$G$5)/2)^2+COS(RADIANS(Finder!$G$5))*COS(RADIANS(E630))*SIN(RADIANS(F630-Finder!$G$6)/2)^2)),"")</f>
        <v>1704.9053442223947</v>
      </c>
      <c r="R630" s="39">
        <f>IF(ISNUMBER(Q630),IF(Q630&lt;=Finder!$D$7,1,0),0)</f>
        <v>0</v>
      </c>
      <c r="S630" s="39" t="str">
        <f>IF(R630=1,O630+ROW()*0.000000001,"")</f>
        <v/>
      </c>
      <c r="T630" s="39" t="str">
        <f>IF(O630&gt;0,INDEX(Calc!$B$4:$B$11,MATCH(MAX(G630:N630),G630:N630,0)),"-")</f>
        <v>Paddy Straw</v>
      </c>
    </row>
    <row r="631" spans="1:20">
      <c r="A631" s="39">
        <v>628</v>
      </c>
      <c r="B631" s="39" t="s">
        <v>713</v>
      </c>
      <c r="C631" s="39" t="s">
        <v>715</v>
      </c>
      <c r="D631" s="39" t="str">
        <f>B631&amp;"|"&amp;C631</f>
        <v>Tripura|Gomati</v>
      </c>
      <c r="E631" s="40">
        <v>23.53</v>
      </c>
      <c r="F631" s="40">
        <v>91.49</v>
      </c>
      <c r="G631" s="41">
        <v>15.96</v>
      </c>
      <c r="H631" s="41">
        <v>0</v>
      </c>
      <c r="I631" s="41">
        <v>7.3185000000000002</v>
      </c>
      <c r="J631" s="41">
        <v>0.62839999999999996</v>
      </c>
      <c r="K631" s="41">
        <v>0.61380000000000001</v>
      </c>
      <c r="L631" s="41">
        <v>7.1599999999999997E-2</v>
      </c>
      <c r="M631" s="41">
        <v>0</v>
      </c>
      <c r="N631" s="41">
        <v>0</v>
      </c>
      <c r="O631" s="42">
        <f>SUM(G631:N631)</f>
        <v>24.592300000000002</v>
      </c>
      <c r="P631" s="42">
        <f>SUMPRODUCT(G631:N631,$G$2:$N$2)*1000/Assumptions!$C$15</f>
        <v>8.3884627988269802</v>
      </c>
      <c r="Q631" s="43">
        <f>IF(ISNUMBER(Finder!$G$5),Finder!$D$8*Assumptions!$C$16*2*ASIN(SQRT(SIN(RADIANS(E631-Finder!$G$5)/2)^2+COS(RADIANS(Finder!$G$5))*COS(RADIANS(E631))*SIN(RADIANS(F631-Finder!$G$6)/2)^2)),"")</f>
        <v>1689.2475368410865</v>
      </c>
      <c r="R631" s="39">
        <f>IF(ISNUMBER(Q631),IF(Q631&lt;=Finder!$D$7,1,0),0)</f>
        <v>0</v>
      </c>
      <c r="S631" s="39" t="str">
        <f>IF(R631=1,O631+ROW()*0.000000001,"")</f>
        <v/>
      </c>
      <c r="T631" s="39" t="str">
        <f>IF(O631&gt;0,INDEX(Calc!$B$4:$B$11,MATCH(MAX(G631:N631),G631:N631,0)),"-")</f>
        <v>Paddy Straw</v>
      </c>
    </row>
    <row r="632" spans="1:20">
      <c r="A632" s="39">
        <v>629</v>
      </c>
      <c r="B632" s="39" t="s">
        <v>713</v>
      </c>
      <c r="C632" s="39" t="s">
        <v>716</v>
      </c>
      <c r="D632" s="39" t="str">
        <f>B632&amp;"|"&amp;C632</f>
        <v>Tripura|Khowai</v>
      </c>
      <c r="E632" s="40">
        <v>24.07</v>
      </c>
      <c r="F632" s="40">
        <v>91.61</v>
      </c>
      <c r="G632" s="41">
        <v>8.82</v>
      </c>
      <c r="H632" s="41">
        <v>0</v>
      </c>
      <c r="I632" s="41">
        <v>2.7709999999999999</v>
      </c>
      <c r="J632" s="41">
        <v>0.3528</v>
      </c>
      <c r="K632" s="41">
        <v>1.0645</v>
      </c>
      <c r="L632" s="41">
        <v>0.1242</v>
      </c>
      <c r="M632" s="41">
        <v>0</v>
      </c>
      <c r="N632" s="41">
        <v>0</v>
      </c>
      <c r="O632" s="42">
        <f>SUM(G632:N632)</f>
        <v>13.132500000000002</v>
      </c>
      <c r="P632" s="42">
        <f>SUMPRODUCT(G632:N632,$G$2:$N$2)*1000/Assumptions!$C$15</f>
        <v>4.4995667372434021</v>
      </c>
      <c r="Q632" s="43">
        <f>IF(ISNUMBER(Finder!$G$5),Finder!$D$8*Assumptions!$C$16*2*ASIN(SQRT(SIN(RADIANS(E632-Finder!$G$5)/2)^2+COS(RADIANS(Finder!$G$5))*COS(RADIANS(E632))*SIN(RADIANS(F632-Finder!$G$6)/2)^2)),"")</f>
        <v>1675.8676679636162</v>
      </c>
      <c r="R632" s="39">
        <f>IF(ISNUMBER(Q632),IF(Q632&lt;=Finder!$D$7,1,0),0)</f>
        <v>0</v>
      </c>
      <c r="S632" s="39" t="str">
        <f>IF(R632=1,O632+ROW()*0.000000001,"")</f>
        <v/>
      </c>
      <c r="T632" s="39" t="str">
        <f>IF(O632&gt;0,INDEX(Calc!$B$4:$B$11,MATCH(MAX(G632:N632),G632:N632,0)),"-")</f>
        <v>Paddy Straw</v>
      </c>
    </row>
    <row r="633" spans="1:20">
      <c r="A633" s="39">
        <v>630</v>
      </c>
      <c r="B633" s="39" t="s">
        <v>713</v>
      </c>
      <c r="C633" s="39" t="s">
        <v>717</v>
      </c>
      <c r="D633" s="39" t="str">
        <f>B633&amp;"|"&amp;C633</f>
        <v>Tripura|North Tripura</v>
      </c>
      <c r="E633" s="40">
        <v>24.37</v>
      </c>
      <c r="F633" s="40">
        <v>92.17</v>
      </c>
      <c r="G633" s="41">
        <v>7.98</v>
      </c>
      <c r="H633" s="41">
        <v>0</v>
      </c>
      <c r="I633" s="41">
        <v>3.2633999999999999</v>
      </c>
      <c r="J633" s="41">
        <v>0.50839999999999996</v>
      </c>
      <c r="K633" s="41">
        <v>0.31390000000000001</v>
      </c>
      <c r="L633" s="41">
        <v>3.6600000000000001E-2</v>
      </c>
      <c r="M633" s="41">
        <v>0</v>
      </c>
      <c r="N633" s="41">
        <v>0</v>
      </c>
      <c r="O633" s="42">
        <f>SUM(G633:N633)</f>
        <v>12.102300000000001</v>
      </c>
      <c r="P633" s="42">
        <f>SUMPRODUCT(G633:N633,$G$2:$N$2)*1000/Assumptions!$C$15</f>
        <v>4.1371933730205273</v>
      </c>
      <c r="Q633" s="43">
        <f>IF(ISNUMBER(Finder!$G$5),Finder!$D$8*Assumptions!$C$16*2*ASIN(SQRT(SIN(RADIANS(E633-Finder!$G$5)/2)^2+COS(RADIANS(Finder!$G$5))*COS(RADIANS(E633))*SIN(RADIANS(F633-Finder!$G$6)/2)^2)),"")</f>
        <v>1715.6792728621813</v>
      </c>
      <c r="R633" s="39">
        <f>IF(ISNUMBER(Q633),IF(Q633&lt;=Finder!$D$7,1,0),0)</f>
        <v>0</v>
      </c>
      <c r="S633" s="39" t="str">
        <f>IF(R633=1,O633+ROW()*0.000000001,"")</f>
        <v/>
      </c>
      <c r="T633" s="39" t="str">
        <f>IF(O633&gt;0,INDEX(Calc!$B$4:$B$11,MATCH(MAX(G633:N633),G633:N633,0)),"-")</f>
        <v>Paddy Straw</v>
      </c>
    </row>
    <row r="634" spans="1:20">
      <c r="A634" s="39">
        <v>631</v>
      </c>
      <c r="B634" s="39" t="s">
        <v>713</v>
      </c>
      <c r="C634" s="39" t="s">
        <v>718</v>
      </c>
      <c r="D634" s="39" t="str">
        <f>B634&amp;"|"&amp;C634</f>
        <v>Tripura|Sepahijala</v>
      </c>
      <c r="E634" s="40">
        <v>23.61</v>
      </c>
      <c r="F634" s="40">
        <v>91.34</v>
      </c>
      <c r="G634" s="41">
        <v>18.899999999999999</v>
      </c>
      <c r="H634" s="41">
        <v>0</v>
      </c>
      <c r="I634" s="41">
        <v>2.8317999999999999</v>
      </c>
      <c r="J634" s="41">
        <v>0.35220000000000001</v>
      </c>
      <c r="K634" s="41">
        <v>0.98960000000000004</v>
      </c>
      <c r="L634" s="41">
        <v>0.11550000000000001</v>
      </c>
      <c r="M634" s="41">
        <v>0</v>
      </c>
      <c r="N634" s="41">
        <v>0</v>
      </c>
      <c r="O634" s="42">
        <f>SUM(G634:N634)</f>
        <v>23.1891</v>
      </c>
      <c r="P634" s="42">
        <f>SUMPRODUCT(G634:N634,$G$2:$N$2)*1000/Assumptions!$C$15</f>
        <v>8.1876907357771245</v>
      </c>
      <c r="Q634" s="43">
        <f>IF(ISNUMBER(Finder!$G$5),Finder!$D$8*Assumptions!$C$16*2*ASIN(SQRT(SIN(RADIANS(E634-Finder!$G$5)/2)^2+COS(RADIANS(Finder!$G$5))*COS(RADIANS(E634))*SIN(RADIANS(F634-Finder!$G$6)/2)^2)),"")</f>
        <v>1671.6322238344051</v>
      </c>
      <c r="R634" s="39">
        <f>IF(ISNUMBER(Q634),IF(Q634&lt;=Finder!$D$7,1,0),0)</f>
        <v>0</v>
      </c>
      <c r="S634" s="39" t="str">
        <f>IF(R634=1,O634+ROW()*0.000000001,"")</f>
        <v/>
      </c>
      <c r="T634" s="39" t="str">
        <f>IF(O634&gt;0,INDEX(Calc!$B$4:$B$11,MATCH(MAX(G634:N634),G634:N634,0)),"-")</f>
        <v>Paddy Straw</v>
      </c>
    </row>
    <row r="635" spans="1:20">
      <c r="A635" s="39">
        <v>632</v>
      </c>
      <c r="B635" s="39" t="s">
        <v>713</v>
      </c>
      <c r="C635" s="39" t="s">
        <v>719</v>
      </c>
      <c r="D635" s="39" t="str">
        <f>B635&amp;"|"&amp;C635</f>
        <v>Tripura|South Tripura</v>
      </c>
      <c r="E635" s="40">
        <v>23.25</v>
      </c>
      <c r="F635" s="40">
        <v>91.45</v>
      </c>
      <c r="G635" s="41">
        <v>16.38</v>
      </c>
      <c r="H635" s="41">
        <v>0</v>
      </c>
      <c r="I635" s="41">
        <v>4.6010999999999997</v>
      </c>
      <c r="J635" s="41">
        <v>0.48820000000000002</v>
      </c>
      <c r="K635" s="41">
        <v>1.7663</v>
      </c>
      <c r="L635" s="41">
        <v>0.20610000000000001</v>
      </c>
      <c r="M635" s="41">
        <v>0</v>
      </c>
      <c r="N635" s="41">
        <v>0</v>
      </c>
      <c r="O635" s="42">
        <f>SUM(G635:N635)</f>
        <v>23.441699999999997</v>
      </c>
      <c r="P635" s="42">
        <f>SUMPRODUCT(G635:N635,$G$2:$N$2)*1000/Assumptions!$C$15</f>
        <v>8.0780933615835782</v>
      </c>
      <c r="Q635" s="43">
        <f>IF(ISNUMBER(Finder!$G$5),Finder!$D$8*Assumptions!$C$16*2*ASIN(SQRT(SIN(RADIANS(E635-Finder!$G$5)/2)^2+COS(RADIANS(Finder!$G$5))*COS(RADIANS(E635))*SIN(RADIANS(F635-Finder!$G$6)/2)^2)),"")</f>
        <v>1698.9977392048463</v>
      </c>
      <c r="R635" s="39">
        <f>IF(ISNUMBER(Q635),IF(Q635&lt;=Finder!$D$7,1,0),0)</f>
        <v>0</v>
      </c>
      <c r="S635" s="39" t="str">
        <f>IF(R635=1,O635+ROW()*0.000000001,"")</f>
        <v/>
      </c>
      <c r="T635" s="39" t="str">
        <f>IF(O635&gt;0,INDEX(Calc!$B$4:$B$11,MATCH(MAX(G635:N635),G635:N635,0)),"-")</f>
        <v>Paddy Straw</v>
      </c>
    </row>
    <row r="636" spans="1:20">
      <c r="A636" s="39">
        <v>633</v>
      </c>
      <c r="B636" s="39" t="s">
        <v>713</v>
      </c>
      <c r="C636" s="39" t="s">
        <v>720</v>
      </c>
      <c r="D636" s="39" t="str">
        <f>B636&amp;"|"&amp;C636</f>
        <v>Tripura|Unakoti</v>
      </c>
      <c r="E636" s="40">
        <v>24.33</v>
      </c>
      <c r="F636" s="40">
        <v>92</v>
      </c>
      <c r="G636" s="41">
        <v>6.72</v>
      </c>
      <c r="H636" s="41">
        <v>0</v>
      </c>
      <c r="I636" s="41">
        <v>2.2942</v>
      </c>
      <c r="J636" s="41">
        <v>0.2989</v>
      </c>
      <c r="K636" s="41">
        <v>0.68630000000000002</v>
      </c>
      <c r="L636" s="41">
        <v>8.0100000000000005E-2</v>
      </c>
      <c r="M636" s="41">
        <v>0</v>
      </c>
      <c r="N636" s="41">
        <v>0</v>
      </c>
      <c r="O636" s="42">
        <f>SUM(G636:N636)</f>
        <v>10.079499999999998</v>
      </c>
      <c r="P636" s="42">
        <f>SUMPRODUCT(G636:N636,$G$2:$N$2)*1000/Assumptions!$C$15</f>
        <v>3.4501893228738996</v>
      </c>
      <c r="Q636" s="43">
        <f>IF(ISNUMBER(Finder!$G$5),Finder!$D$8*Assumptions!$C$16*2*ASIN(SQRT(SIN(RADIANS(E636-Finder!$G$5)/2)^2+COS(RADIANS(Finder!$G$5))*COS(RADIANS(E636))*SIN(RADIANS(F636-Finder!$G$6)/2)^2)),"")</f>
        <v>1701.3353951693653</v>
      </c>
      <c r="R636" s="39">
        <f>IF(ISNUMBER(Q636),IF(Q636&lt;=Finder!$D$7,1,0),0)</f>
        <v>0</v>
      </c>
      <c r="S636" s="39" t="str">
        <f>IF(R636=1,O636+ROW()*0.000000001,"")</f>
        <v/>
      </c>
      <c r="T636" s="39" t="str">
        <f>IF(O636&gt;0,INDEX(Calc!$B$4:$B$11,MATCH(MAX(G636:N636),G636:N636,0)),"-")</f>
        <v>Paddy Straw</v>
      </c>
    </row>
    <row r="637" spans="1:20">
      <c r="A637" s="39">
        <v>634</v>
      </c>
      <c r="B637" s="39" t="s">
        <v>713</v>
      </c>
      <c r="C637" s="39" t="s">
        <v>721</v>
      </c>
      <c r="D637" s="39" t="str">
        <f>B637&amp;"|"&amp;C637</f>
        <v>Tripura|West Tripura</v>
      </c>
      <c r="E637" s="40">
        <v>23.83</v>
      </c>
      <c r="F637" s="40">
        <v>91.28</v>
      </c>
      <c r="G637" s="41">
        <v>9.24</v>
      </c>
      <c r="H637" s="41">
        <v>0</v>
      </c>
      <c r="I637" s="41">
        <v>4.2230999999999996</v>
      </c>
      <c r="J637" s="41">
        <v>0.40300000000000002</v>
      </c>
      <c r="K637" s="41">
        <v>0.25580000000000003</v>
      </c>
      <c r="L637" s="41">
        <v>2.98E-2</v>
      </c>
      <c r="M637" s="41">
        <v>0</v>
      </c>
      <c r="N637" s="41">
        <v>0</v>
      </c>
      <c r="O637" s="42">
        <f>SUM(G637:N637)</f>
        <v>14.151700000000002</v>
      </c>
      <c r="P637" s="42">
        <f>SUMPRODUCT(G637:N637,$G$2:$N$2)*1000/Assumptions!$C$15</f>
        <v>4.8313972439882695</v>
      </c>
      <c r="Q637" s="43">
        <f>IF(ISNUMBER(Finder!$G$5),Finder!$D$8*Assumptions!$C$16*2*ASIN(SQRT(SIN(RADIANS(E637-Finder!$G$5)/2)^2+COS(RADIANS(Finder!$G$5))*COS(RADIANS(E637))*SIN(RADIANS(F637-Finder!$G$6)/2)^2)),"")</f>
        <v>1655.8888401455508</v>
      </c>
      <c r="R637" s="39">
        <f>IF(ISNUMBER(Q637),IF(Q637&lt;=Finder!$D$7,1,0),0)</f>
        <v>0</v>
      </c>
      <c r="S637" s="39" t="str">
        <f>IF(R637=1,O637+ROW()*0.000000001,"")</f>
        <v/>
      </c>
      <c r="T637" s="39" t="str">
        <f>IF(O637&gt;0,INDEX(Calc!$B$4:$B$11,MATCH(MAX(G637:N637),G637:N637,0)),"-")</f>
        <v>Paddy Straw</v>
      </c>
    </row>
    <row r="638" spans="1:20">
      <c r="A638" s="39">
        <v>635</v>
      </c>
      <c r="B638" s="39" t="s">
        <v>722</v>
      </c>
      <c r="C638" s="39" t="s">
        <v>723</v>
      </c>
      <c r="D638" s="39" t="str">
        <f>B638&amp;"|"&amp;C638</f>
        <v>Uttar Pradesh|Agra</v>
      </c>
      <c r="E638" s="40">
        <v>27.18</v>
      </c>
      <c r="F638" s="40">
        <v>78.010000000000005</v>
      </c>
      <c r="G638" s="41">
        <v>7.14</v>
      </c>
      <c r="H638" s="41">
        <v>56.25</v>
      </c>
      <c r="I638" s="41">
        <v>2.0842000000000001</v>
      </c>
      <c r="J638" s="41">
        <v>108.4333</v>
      </c>
      <c r="K638" s="41">
        <v>0</v>
      </c>
      <c r="L638" s="41">
        <v>0</v>
      </c>
      <c r="M638" s="41">
        <v>0</v>
      </c>
      <c r="N638" s="41">
        <v>0</v>
      </c>
      <c r="O638" s="42">
        <f>SUM(G638:N638)</f>
        <v>173.9075</v>
      </c>
      <c r="P638" s="42">
        <f>SUMPRODUCT(G638:N638,$G$2:$N$2)*1000/Assumptions!$C$15</f>
        <v>55.748113137829911</v>
      </c>
      <c r="Q638" s="43">
        <f>IF(ISNUMBER(Finder!$G$5),Finder!$D$8*Assumptions!$C$16*2*ASIN(SQRT(SIN(RADIANS(E638-Finder!$G$5)/2)^2+COS(RADIANS(Finder!$G$5))*COS(RADIANS(E638))*SIN(RADIANS(F638-Finder!$G$6)/2)^2)),"")</f>
        <v>313.6361201546261</v>
      </c>
      <c r="R638" s="39">
        <f>IF(ISNUMBER(Q638),IF(Q638&lt;=Finder!$D$7,1,0),0)</f>
        <v>0</v>
      </c>
      <c r="S638" s="39" t="str">
        <f>IF(R638=1,O638+ROW()*0.000000001,"")</f>
        <v/>
      </c>
      <c r="T638" s="39" t="str">
        <f>IF(O638&gt;0,INDEX(Calc!$B$4:$B$11,MATCH(MAX(G638:N638),G638:N638,0)),"-")</f>
        <v>Mustard Stalk</v>
      </c>
    </row>
    <row r="639" spans="1:20">
      <c r="A639" s="39">
        <v>636</v>
      </c>
      <c r="B639" s="39" t="s">
        <v>722</v>
      </c>
      <c r="C639" s="39" t="s">
        <v>724</v>
      </c>
      <c r="D639" s="39" t="str">
        <f>B639&amp;"|"&amp;C639</f>
        <v>Uttar Pradesh|Aligarh</v>
      </c>
      <c r="E639" s="40">
        <v>27.88</v>
      </c>
      <c r="F639" s="40">
        <v>78.08</v>
      </c>
      <c r="G639" s="41">
        <v>79.38</v>
      </c>
      <c r="H639" s="41">
        <v>82.8</v>
      </c>
      <c r="I639" s="41">
        <v>59.722900000000003</v>
      </c>
      <c r="J639" s="41">
        <v>106.3288</v>
      </c>
      <c r="K639" s="41">
        <v>66.599999999999994</v>
      </c>
      <c r="L639" s="41">
        <v>7.77</v>
      </c>
      <c r="M639" s="41">
        <v>0</v>
      </c>
      <c r="N639" s="41">
        <v>0</v>
      </c>
      <c r="O639" s="42">
        <f>SUM(G639:N639)</f>
        <v>402.60170000000005</v>
      </c>
      <c r="P639" s="42">
        <f>SUMPRODUCT(G639:N639,$G$2:$N$2)*1000/Assumptions!$C$15</f>
        <v>130.04411362815247</v>
      </c>
      <c r="Q639" s="43">
        <f>IF(ISNUMBER(Finder!$G$5),Finder!$D$8*Assumptions!$C$16*2*ASIN(SQRT(SIN(RADIANS(E639-Finder!$G$5)/2)^2+COS(RADIANS(Finder!$G$5))*COS(RADIANS(E639))*SIN(RADIANS(F639-Finder!$G$6)/2)^2)),"")</f>
        <v>270.38246540909296</v>
      </c>
      <c r="R639" s="39">
        <f>IF(ISNUMBER(Q639),IF(Q639&lt;=Finder!$D$7,1,0),0)</f>
        <v>0</v>
      </c>
      <c r="S639" s="39" t="str">
        <f>IF(R639=1,O639+ROW()*0.000000001,"")</f>
        <v/>
      </c>
      <c r="T639" s="39" t="str">
        <f>IF(O639&gt;0,INDEX(Calc!$B$4:$B$11,MATCH(MAX(G639:N639),G639:N639,0)),"-")</f>
        <v>Mustard Stalk</v>
      </c>
    </row>
    <row r="640" spans="1:20">
      <c r="A640" s="39">
        <v>637</v>
      </c>
      <c r="B640" s="39" t="s">
        <v>722</v>
      </c>
      <c r="C640" s="39" t="s">
        <v>725</v>
      </c>
      <c r="D640" s="39" t="str">
        <f>B640&amp;"|"&amp;C640</f>
        <v>Uttar Pradesh|Ambedkar Nagar</v>
      </c>
      <c r="E640" s="40">
        <v>26.43</v>
      </c>
      <c r="F640" s="40">
        <v>82.54</v>
      </c>
      <c r="G640" s="41">
        <v>63.84</v>
      </c>
      <c r="H640" s="41">
        <v>49.5</v>
      </c>
      <c r="I640" s="41">
        <v>1.2611000000000001</v>
      </c>
      <c r="J640" s="41">
        <v>8.4940999999999995</v>
      </c>
      <c r="K640" s="41">
        <v>340.02</v>
      </c>
      <c r="L640" s="41">
        <v>39.668999999999997</v>
      </c>
      <c r="M640" s="41">
        <v>0</v>
      </c>
      <c r="N640" s="41">
        <v>0</v>
      </c>
      <c r="O640" s="42">
        <f>SUM(G640:N640)</f>
        <v>502.78419999999994</v>
      </c>
      <c r="P640" s="42">
        <f>SUMPRODUCT(G640:N640,$G$2:$N$2)*1000/Assumptions!$C$15</f>
        <v>155.44207785982405</v>
      </c>
      <c r="Q640" s="43">
        <f>IF(ISNUMBER(Finder!$G$5),Finder!$D$8*Assumptions!$C$16*2*ASIN(SQRT(SIN(RADIANS(E640-Finder!$G$5)/2)^2+COS(RADIANS(Finder!$G$5))*COS(RADIANS(E640))*SIN(RADIANS(F640-Finder!$G$6)/2)^2)),"")</f>
        <v>735.72393029194973</v>
      </c>
      <c r="R640" s="39">
        <f>IF(ISNUMBER(Q640),IF(Q640&lt;=Finder!$D$7,1,0),0)</f>
        <v>0</v>
      </c>
      <c r="S640" s="39" t="str">
        <f>IF(R640=1,O640+ROW()*0.000000001,"")</f>
        <v/>
      </c>
      <c r="T640" s="39" t="str">
        <f>IF(O640&gt;0,INDEX(Calc!$B$4:$B$11,MATCH(MAX(G640:N640),G640:N640,0)),"-")</f>
        <v>Cane Trash</v>
      </c>
    </row>
    <row r="641" spans="1:20">
      <c r="A641" s="39">
        <v>638</v>
      </c>
      <c r="B641" s="39" t="s">
        <v>722</v>
      </c>
      <c r="C641" s="39" t="s">
        <v>726</v>
      </c>
      <c r="D641" s="39" t="str">
        <f>B641&amp;"|"&amp;C641</f>
        <v>Uttar Pradesh|Amethi</v>
      </c>
      <c r="E641" s="40">
        <v>26.21</v>
      </c>
      <c r="F641" s="40">
        <v>81.69</v>
      </c>
      <c r="G641" s="41">
        <v>40.74</v>
      </c>
      <c r="H641" s="41">
        <v>52.65</v>
      </c>
      <c r="I641" s="41">
        <v>1.0983000000000001</v>
      </c>
      <c r="J641" s="41">
        <v>9.0381</v>
      </c>
      <c r="K641" s="41">
        <v>0</v>
      </c>
      <c r="L641" s="41">
        <v>0</v>
      </c>
      <c r="M641" s="41">
        <v>0</v>
      </c>
      <c r="N641" s="41">
        <v>0</v>
      </c>
      <c r="O641" s="42">
        <f>SUM(G641:N641)</f>
        <v>103.5264</v>
      </c>
      <c r="P641" s="42">
        <f>SUMPRODUCT(G641:N641,$G$2:$N$2)*1000/Assumptions!$C$15</f>
        <v>37.214446194721404</v>
      </c>
      <c r="Q641" s="43">
        <f>IF(ISNUMBER(Finder!$G$5),Finder!$D$8*Assumptions!$C$16*2*ASIN(SQRT(SIN(RADIANS(E641-Finder!$G$5)/2)^2+COS(RADIANS(Finder!$G$5))*COS(RADIANS(E641))*SIN(RADIANS(F641-Finder!$G$6)/2)^2)),"")</f>
        <v>672.49363623561885</v>
      </c>
      <c r="R641" s="39">
        <f>IF(ISNUMBER(Q641),IF(Q641&lt;=Finder!$D$7,1,0),0)</f>
        <v>0</v>
      </c>
      <c r="S641" s="39" t="str">
        <f>IF(R641=1,O641+ROW()*0.000000001,"")</f>
        <v/>
      </c>
      <c r="T641" s="39" t="str">
        <f>IF(O641&gt;0,INDEX(Calc!$B$4:$B$11,MATCH(MAX(G641:N641),G641:N641,0)),"-")</f>
        <v>Wheat Straw</v>
      </c>
    </row>
    <row r="642" spans="1:20">
      <c r="A642" s="39">
        <v>639</v>
      </c>
      <c r="B642" s="39" t="s">
        <v>722</v>
      </c>
      <c r="C642" s="39" t="s">
        <v>727</v>
      </c>
      <c r="D642" s="39" t="str">
        <f>B642&amp;"|"&amp;C642</f>
        <v>Uttar Pradesh|Amroha</v>
      </c>
      <c r="E642" s="40">
        <v>28.9</v>
      </c>
      <c r="F642" s="40">
        <v>78.47</v>
      </c>
      <c r="G642" s="41">
        <v>13.44</v>
      </c>
      <c r="H642" s="41">
        <v>39.15</v>
      </c>
      <c r="I642" s="41">
        <v>6.7872000000000003</v>
      </c>
      <c r="J642" s="41">
        <v>3.2364000000000002</v>
      </c>
      <c r="K642" s="41">
        <v>1473.66</v>
      </c>
      <c r="L642" s="41">
        <v>171.92699999999999</v>
      </c>
      <c r="M642" s="41">
        <v>0</v>
      </c>
      <c r="N642" s="41">
        <v>0</v>
      </c>
      <c r="O642" s="42">
        <f>SUM(G642:N642)</f>
        <v>1708.2005999999999</v>
      </c>
      <c r="P642" s="42">
        <f>SUMPRODUCT(G642:N642,$G$2:$N$2)*1000/Assumptions!$C$15</f>
        <v>503.42128764985335</v>
      </c>
      <c r="Q642" s="43">
        <f>IF(ISNUMBER(Finder!$G$5),Finder!$D$8*Assumptions!$C$16*2*ASIN(SQRT(SIN(RADIANS(E642-Finder!$G$5)/2)^2+COS(RADIANS(Finder!$G$5))*COS(RADIANS(E642))*SIN(RADIANS(F642-Finder!$G$6)/2)^2)),"")</f>
        <v>268.8165603650466</v>
      </c>
      <c r="R642" s="39">
        <f>IF(ISNUMBER(Q642),IF(Q642&lt;=Finder!$D$7,1,0),0)</f>
        <v>0</v>
      </c>
      <c r="S642" s="39" t="str">
        <f>IF(R642=1,O642+ROW()*0.000000001,"")</f>
        <v/>
      </c>
      <c r="T642" s="39" t="str">
        <f>IF(O642&gt;0,INDEX(Calc!$B$4:$B$11,MATCH(MAX(G642:N642),G642:N642,0)),"-")</f>
        <v>Cane Trash</v>
      </c>
    </row>
    <row r="643" spans="1:20">
      <c r="A643" s="39">
        <v>640</v>
      </c>
      <c r="B643" s="39" t="s">
        <v>722</v>
      </c>
      <c r="C643" s="39" t="s">
        <v>728</v>
      </c>
      <c r="D643" s="39" t="str">
        <f>B643&amp;"|"&amp;C643</f>
        <v>Uttar Pradesh|Auraiya</v>
      </c>
      <c r="E643" s="40">
        <v>26.47</v>
      </c>
      <c r="F643" s="40">
        <v>79.510000000000005</v>
      </c>
      <c r="G643" s="41">
        <v>35.700000000000003</v>
      </c>
      <c r="H643" s="41">
        <v>43.65</v>
      </c>
      <c r="I643" s="41">
        <v>35.366100000000003</v>
      </c>
      <c r="J643" s="41">
        <v>17.466699999999999</v>
      </c>
      <c r="K643" s="41">
        <v>0</v>
      </c>
      <c r="L643" s="41">
        <v>0</v>
      </c>
      <c r="M643" s="41">
        <v>0</v>
      </c>
      <c r="N643" s="41">
        <v>0</v>
      </c>
      <c r="O643" s="42">
        <f>SUM(G643:N643)</f>
        <v>132.18279999999999</v>
      </c>
      <c r="P643" s="42">
        <f>SUMPRODUCT(G643:N643,$G$2:$N$2)*1000/Assumptions!$C$15</f>
        <v>44.628529075659827</v>
      </c>
      <c r="Q643" s="43">
        <f>IF(ISNUMBER(Finder!$G$5),Finder!$D$8*Assumptions!$C$16*2*ASIN(SQRT(SIN(RADIANS(E643-Finder!$G$5)/2)^2+COS(RADIANS(Finder!$G$5))*COS(RADIANS(E643))*SIN(RADIANS(F643-Finder!$G$6)/2)^2)),"")</f>
        <v>477.17201862241495</v>
      </c>
      <c r="R643" s="39">
        <f>IF(ISNUMBER(Q643),IF(Q643&lt;=Finder!$D$7,1,0),0)</f>
        <v>0</v>
      </c>
      <c r="S643" s="39" t="str">
        <f>IF(R643=1,O643+ROW()*0.000000001,"")</f>
        <v/>
      </c>
      <c r="T643" s="39" t="str">
        <f>IF(O643&gt;0,INDEX(Calc!$B$4:$B$11,MATCH(MAX(G643:N643),G643:N643,0)),"-")</f>
        <v>Wheat Straw</v>
      </c>
    </row>
    <row r="644" spans="1:20">
      <c r="A644" s="39">
        <v>641</v>
      </c>
      <c r="B644" s="39" t="s">
        <v>722</v>
      </c>
      <c r="C644" s="39" t="s">
        <v>729</v>
      </c>
      <c r="D644" s="39" t="str">
        <f>B644&amp;"|"&amp;C644</f>
        <v>Uttar Pradesh|Ayodhya</v>
      </c>
      <c r="E644" s="40">
        <v>26.79</v>
      </c>
      <c r="F644" s="40">
        <v>82.2</v>
      </c>
      <c r="G644" s="41">
        <v>39.479999999999997</v>
      </c>
      <c r="H644" s="41">
        <v>46.8</v>
      </c>
      <c r="I644" s="41">
        <v>9.7818000000000005</v>
      </c>
      <c r="J644" s="41">
        <v>4.5319000000000003</v>
      </c>
      <c r="K644" s="41">
        <v>679.68</v>
      </c>
      <c r="L644" s="41">
        <v>79.296000000000006</v>
      </c>
      <c r="M644" s="41">
        <v>0</v>
      </c>
      <c r="N644" s="41">
        <v>0</v>
      </c>
      <c r="O644" s="42">
        <f>SUM(G644:N644)</f>
        <v>859.56970000000001</v>
      </c>
      <c r="P644" s="42">
        <f>SUMPRODUCT(G644:N644,$G$2:$N$2)*1000/Assumptions!$C$15</f>
        <v>257.77361295366569</v>
      </c>
      <c r="Q644" s="43">
        <f>IF(ISNUMBER(Finder!$G$5),Finder!$D$8*Assumptions!$C$16*2*ASIN(SQRT(SIN(RADIANS(E644-Finder!$G$5)/2)^2+COS(RADIANS(Finder!$G$5))*COS(RADIANS(E644))*SIN(RADIANS(F644-Finder!$G$6)/2)^2)),"")</f>
        <v>688.21620194124637</v>
      </c>
      <c r="R644" s="39">
        <f>IF(ISNUMBER(Q644),IF(Q644&lt;=Finder!$D$7,1,0),0)</f>
        <v>0</v>
      </c>
      <c r="S644" s="39" t="str">
        <f>IF(R644=1,O644+ROW()*0.000000001,"")</f>
        <v/>
      </c>
      <c r="T644" s="39" t="str">
        <f>IF(O644&gt;0,INDEX(Calc!$B$4:$B$11,MATCH(MAX(G644:N644),G644:N644,0)),"-")</f>
        <v>Cane Trash</v>
      </c>
    </row>
    <row r="645" spans="1:20">
      <c r="A645" s="39">
        <v>642</v>
      </c>
      <c r="B645" s="39" t="s">
        <v>722</v>
      </c>
      <c r="C645" s="39" t="s">
        <v>730</v>
      </c>
      <c r="D645" s="39" t="str">
        <f>B645&amp;"|"&amp;C645</f>
        <v>Uttar Pradesh|Azamgarh</v>
      </c>
      <c r="E645" s="40">
        <v>26.07</v>
      </c>
      <c r="F645" s="40">
        <v>83.19</v>
      </c>
      <c r="G645" s="41">
        <v>69.3</v>
      </c>
      <c r="H645" s="41">
        <v>102.6</v>
      </c>
      <c r="I645" s="41">
        <v>18.586099999999998</v>
      </c>
      <c r="J645" s="41">
        <v>15.395200000000001</v>
      </c>
      <c r="K645" s="41">
        <v>105.48</v>
      </c>
      <c r="L645" s="41">
        <v>12.305999999999999</v>
      </c>
      <c r="M645" s="41">
        <v>0</v>
      </c>
      <c r="N645" s="41">
        <v>0</v>
      </c>
      <c r="O645" s="42">
        <f>SUM(G645:N645)</f>
        <v>323.66729999999995</v>
      </c>
      <c r="P645" s="42">
        <f>SUMPRODUCT(G645:N645,$G$2:$N$2)*1000/Assumptions!$C$15</f>
        <v>107.44982964457478</v>
      </c>
      <c r="Q645" s="43">
        <f>IF(ISNUMBER(Finder!$G$5),Finder!$D$8*Assumptions!$C$16*2*ASIN(SQRT(SIN(RADIANS(E645-Finder!$G$5)/2)^2+COS(RADIANS(Finder!$G$5))*COS(RADIANS(E645))*SIN(RADIANS(F645-Finder!$G$6)/2)^2)),"")</f>
        <v>811.5664525530766</v>
      </c>
      <c r="R645" s="39">
        <f>IF(ISNUMBER(Q645),IF(Q645&lt;=Finder!$D$7,1,0),0)</f>
        <v>0</v>
      </c>
      <c r="S645" s="39" t="str">
        <f>IF(R645=1,O645+ROW()*0.000000001,"")</f>
        <v/>
      </c>
      <c r="T645" s="39" t="str">
        <f>IF(O645&gt;0,INDEX(Calc!$B$4:$B$11,MATCH(MAX(G645:N645),G645:N645,0)),"-")</f>
        <v>Cane Trash</v>
      </c>
    </row>
    <row r="646" spans="1:20">
      <c r="A646" s="39">
        <v>643</v>
      </c>
      <c r="B646" s="39" t="s">
        <v>722</v>
      </c>
      <c r="C646" s="39" t="s">
        <v>731</v>
      </c>
      <c r="D646" s="39" t="str">
        <f>B646&amp;"|"&amp;C646</f>
        <v>Uttar Pradesh|Baghpat</v>
      </c>
      <c r="E646" s="40">
        <v>28.94</v>
      </c>
      <c r="F646" s="40">
        <v>77.22</v>
      </c>
      <c r="G646" s="41">
        <v>5.46</v>
      </c>
      <c r="H646" s="41">
        <v>21.6</v>
      </c>
      <c r="I646" s="41">
        <v>3.4700000000000002E-2</v>
      </c>
      <c r="J646" s="41">
        <v>3.5861999999999998</v>
      </c>
      <c r="K646" s="41">
        <v>1375.74</v>
      </c>
      <c r="L646" s="41">
        <v>160.50299999999999</v>
      </c>
      <c r="M646" s="41">
        <v>0</v>
      </c>
      <c r="N646" s="41">
        <v>0</v>
      </c>
      <c r="O646" s="42">
        <f>SUM(G646:N646)</f>
        <v>1566.9239</v>
      </c>
      <c r="P646" s="42">
        <f>SUMPRODUCT(G646:N646,$G$2:$N$2)*1000/Assumptions!$C$15</f>
        <v>460.20569974604103</v>
      </c>
      <c r="Q646" s="43">
        <f>IF(ISNUMBER(Finder!$G$5),Finder!$D$8*Assumptions!$C$16*2*ASIN(SQRT(SIN(RADIANS(E646-Finder!$G$5)/2)^2+COS(RADIANS(Finder!$G$5))*COS(RADIANS(E646))*SIN(RADIANS(F646-Finder!$G$6)/2)^2)),"")</f>
        <v>147.6730985085149</v>
      </c>
      <c r="R646" s="39">
        <f>IF(ISNUMBER(Q646),IF(Q646&lt;=Finder!$D$7,1,0),0)</f>
        <v>0</v>
      </c>
      <c r="S646" s="39" t="str">
        <f>IF(R646=1,O646+ROW()*0.000000001,"")</f>
        <v/>
      </c>
      <c r="T646" s="39" t="str">
        <f>IF(O646&gt;0,INDEX(Calc!$B$4:$B$11,MATCH(MAX(G646:N646),G646:N646,0)),"-")</f>
        <v>Cane Trash</v>
      </c>
    </row>
    <row r="647" spans="1:20">
      <c r="A647" s="39">
        <v>644</v>
      </c>
      <c r="B647" s="39" t="s">
        <v>722</v>
      </c>
      <c r="C647" s="39" t="s">
        <v>732</v>
      </c>
      <c r="D647" s="39" t="str">
        <f>B647&amp;"|"&amp;C647</f>
        <v>Uttar Pradesh|Bahraich</v>
      </c>
      <c r="E647" s="40">
        <v>27.57</v>
      </c>
      <c r="F647" s="40">
        <v>81.599999999999994</v>
      </c>
      <c r="G647" s="41">
        <v>69.72</v>
      </c>
      <c r="H647" s="41">
        <v>85.5</v>
      </c>
      <c r="I647" s="41">
        <v>154.4907</v>
      </c>
      <c r="J647" s="41">
        <v>5.8480999999999996</v>
      </c>
      <c r="K647" s="41">
        <v>1046.7</v>
      </c>
      <c r="L647" s="41">
        <v>122.11499999999999</v>
      </c>
      <c r="M647" s="41">
        <v>0</v>
      </c>
      <c r="N647" s="41">
        <v>0</v>
      </c>
      <c r="O647" s="42">
        <f>SUM(G647:N647)</f>
        <v>1484.3738000000001</v>
      </c>
      <c r="P647" s="42">
        <f>SUMPRODUCT(G647:N647,$G$2:$N$2)*1000/Assumptions!$C$15</f>
        <v>445.84514165923747</v>
      </c>
      <c r="Q647" s="43">
        <f>IF(ISNUMBER(Finder!$G$5),Finder!$D$8*Assumptions!$C$16*2*ASIN(SQRT(SIN(RADIANS(E647-Finder!$G$5)/2)^2+COS(RADIANS(Finder!$G$5))*COS(RADIANS(E647))*SIN(RADIANS(F647-Finder!$G$6)/2)^2)),"")</f>
        <v>601.49298966492915</v>
      </c>
      <c r="R647" s="39">
        <f>IF(ISNUMBER(Q647),IF(Q647&lt;=Finder!$D$7,1,0),0)</f>
        <v>0</v>
      </c>
      <c r="S647" s="39" t="str">
        <f>IF(R647=1,O647+ROW()*0.000000001,"")</f>
        <v/>
      </c>
      <c r="T647" s="39" t="str">
        <f>IF(O647&gt;0,INDEX(Calc!$B$4:$B$11,MATCH(MAX(G647:N647),G647:N647,0)),"-")</f>
        <v>Cane Trash</v>
      </c>
    </row>
    <row r="648" spans="1:20">
      <c r="A648" s="39">
        <v>645</v>
      </c>
      <c r="B648" s="39" t="s">
        <v>722</v>
      </c>
      <c r="C648" s="39" t="s">
        <v>733</v>
      </c>
      <c r="D648" s="39" t="str">
        <f>B648&amp;"|"&amp;C648</f>
        <v>Uttar Pradesh|Ballia</v>
      </c>
      <c r="E648" s="40">
        <v>25.76</v>
      </c>
      <c r="F648" s="40">
        <v>84.15</v>
      </c>
      <c r="G648" s="41">
        <v>28.98</v>
      </c>
      <c r="H648" s="41">
        <v>63.45</v>
      </c>
      <c r="I648" s="41">
        <v>45.983699999999999</v>
      </c>
      <c r="J648" s="41">
        <v>8.0604999999999993</v>
      </c>
      <c r="K648" s="41">
        <v>12.78</v>
      </c>
      <c r="L648" s="41">
        <v>1.4910000000000001</v>
      </c>
      <c r="M648" s="41">
        <v>0</v>
      </c>
      <c r="N648" s="41">
        <v>0</v>
      </c>
      <c r="O648" s="42">
        <f>SUM(G648:N648)</f>
        <v>160.74520000000001</v>
      </c>
      <c r="P648" s="42">
        <f>SUMPRODUCT(G648:N648,$G$2:$N$2)*1000/Assumptions!$C$15</f>
        <v>53.95249469266863</v>
      </c>
      <c r="Q648" s="43">
        <f>IF(ISNUMBER(Finder!$G$5),Finder!$D$8*Assumptions!$C$16*2*ASIN(SQRT(SIN(RADIANS(E648-Finder!$G$5)/2)^2+COS(RADIANS(Finder!$G$5))*COS(RADIANS(E648))*SIN(RADIANS(F648-Finder!$G$6)/2)^2)),"")</f>
        <v>912.8810087785962</v>
      </c>
      <c r="R648" s="39">
        <f>IF(ISNUMBER(Q648),IF(Q648&lt;=Finder!$D$7,1,0),0)</f>
        <v>0</v>
      </c>
      <c r="S648" s="39" t="str">
        <f>IF(R648=1,O648+ROW()*0.000000001,"")</f>
        <v/>
      </c>
      <c r="T648" s="39" t="str">
        <f>IF(O648&gt;0,INDEX(Calc!$B$4:$B$11,MATCH(MAX(G648:N648),G648:N648,0)),"-")</f>
        <v>Wheat Straw</v>
      </c>
    </row>
    <row r="649" spans="1:20">
      <c r="A649" s="39">
        <v>646</v>
      </c>
      <c r="B649" s="39" t="s">
        <v>722</v>
      </c>
      <c r="C649" s="39" t="s">
        <v>734</v>
      </c>
      <c r="D649" s="39" t="str">
        <f>B649&amp;"|"&amp;C649</f>
        <v>Uttar Pradesh|Balrampur</v>
      </c>
      <c r="E649" s="40">
        <v>27.43</v>
      </c>
      <c r="F649" s="40">
        <v>82.18</v>
      </c>
      <c r="G649" s="41">
        <v>50.82</v>
      </c>
      <c r="H649" s="41">
        <v>45.9</v>
      </c>
      <c r="I649" s="41">
        <v>7.0087999999999999</v>
      </c>
      <c r="J649" s="41">
        <v>14.0753</v>
      </c>
      <c r="K649" s="41">
        <v>1140.8399999999999</v>
      </c>
      <c r="L649" s="41">
        <v>133.09800000000001</v>
      </c>
      <c r="M649" s="41">
        <v>0</v>
      </c>
      <c r="N649" s="41">
        <v>0</v>
      </c>
      <c r="O649" s="42">
        <f>SUM(G649:N649)</f>
        <v>1391.7420999999999</v>
      </c>
      <c r="P649" s="42">
        <f>SUMPRODUCT(G649:N649,$G$2:$N$2)*1000/Assumptions!$C$15</f>
        <v>414.17513040938411</v>
      </c>
      <c r="Q649" s="43">
        <f>IF(ISNUMBER(Finder!$G$5),Finder!$D$8*Assumptions!$C$16*2*ASIN(SQRT(SIN(RADIANS(E649-Finder!$G$5)/2)^2+COS(RADIANS(Finder!$G$5))*COS(RADIANS(E649))*SIN(RADIANS(F649-Finder!$G$6)/2)^2)),"")</f>
        <v>660.69113167603462</v>
      </c>
      <c r="R649" s="39">
        <f>IF(ISNUMBER(Q649),IF(Q649&lt;=Finder!$D$7,1,0),0)</f>
        <v>0</v>
      </c>
      <c r="S649" s="39" t="str">
        <f>IF(R649=1,O649+ROW()*0.000000001,"")</f>
        <v/>
      </c>
      <c r="T649" s="39" t="str">
        <f>IF(O649&gt;0,INDEX(Calc!$B$4:$B$11,MATCH(MAX(G649:N649),G649:N649,0)),"-")</f>
        <v>Cane Trash</v>
      </c>
    </row>
    <row r="650" spans="1:20">
      <c r="A650" s="39">
        <v>647</v>
      </c>
      <c r="B650" s="39" t="s">
        <v>722</v>
      </c>
      <c r="C650" s="39" t="s">
        <v>735</v>
      </c>
      <c r="D650" s="39" t="str">
        <f>B650&amp;"|"&amp;C650</f>
        <v>Uttar Pradesh|Banda</v>
      </c>
      <c r="E650" s="40">
        <v>25.48</v>
      </c>
      <c r="F650" s="40">
        <v>80.33</v>
      </c>
      <c r="G650" s="41">
        <v>50.82</v>
      </c>
      <c r="H650" s="41">
        <v>81.900000000000006</v>
      </c>
      <c r="I650" s="41">
        <v>3.2000000000000002E-3</v>
      </c>
      <c r="J650" s="41">
        <v>6.2481</v>
      </c>
      <c r="K650" s="41">
        <v>0</v>
      </c>
      <c r="L650" s="41">
        <v>0</v>
      </c>
      <c r="M650" s="41">
        <v>2.2700000000000001E-2</v>
      </c>
      <c r="N650" s="41">
        <v>0</v>
      </c>
      <c r="O650" s="42">
        <f>SUM(G650:N650)</f>
        <v>138.99399999999997</v>
      </c>
      <c r="P650" s="42">
        <f>SUMPRODUCT(G650:N650,$G$2:$N$2)*1000/Assumptions!$C$15</f>
        <v>50.495267558944278</v>
      </c>
      <c r="Q650" s="43">
        <f>IF(ISNUMBER(Finder!$G$5),Finder!$D$8*Assumptions!$C$16*2*ASIN(SQRT(SIN(RADIANS(E650-Finder!$G$5)/2)^2+COS(RADIANS(Finder!$G$5))*COS(RADIANS(E650))*SIN(RADIANS(F650-Finder!$G$6)/2)^2)),"")</f>
        <v>611.40678138627732</v>
      </c>
      <c r="R650" s="39">
        <f>IF(ISNUMBER(Q650),IF(Q650&lt;=Finder!$D$7,1,0),0)</f>
        <v>0</v>
      </c>
      <c r="S650" s="39" t="str">
        <f>IF(R650=1,O650+ROW()*0.000000001,"")</f>
        <v/>
      </c>
      <c r="T650" s="39" t="str">
        <f>IF(O650&gt;0,INDEX(Calc!$B$4:$B$11,MATCH(MAX(G650:N650),G650:N650,0)),"-")</f>
        <v>Wheat Straw</v>
      </c>
    </row>
    <row r="651" spans="1:20">
      <c r="A651" s="39">
        <v>648</v>
      </c>
      <c r="B651" s="39" t="s">
        <v>722</v>
      </c>
      <c r="C651" s="39" t="s">
        <v>736</v>
      </c>
      <c r="D651" s="39" t="str">
        <f>B651&amp;"|"&amp;C651</f>
        <v>Uttar Pradesh|Bara Banki</v>
      </c>
      <c r="E651" s="40">
        <v>26.93</v>
      </c>
      <c r="F651" s="40">
        <v>81.19</v>
      </c>
      <c r="G651" s="41">
        <v>87.36</v>
      </c>
      <c r="H651" s="41">
        <v>68.400000000000006</v>
      </c>
      <c r="I651" s="41">
        <v>5.4001999999999999</v>
      </c>
      <c r="J651" s="41">
        <v>34.720799999999997</v>
      </c>
      <c r="K651" s="41">
        <v>140.94</v>
      </c>
      <c r="L651" s="41">
        <v>16.443000000000001</v>
      </c>
      <c r="M651" s="41">
        <v>0</v>
      </c>
      <c r="N651" s="41">
        <v>0</v>
      </c>
      <c r="O651" s="42">
        <f>SUM(G651:N651)</f>
        <v>353.26400000000001</v>
      </c>
      <c r="P651" s="42">
        <f>SUMPRODUCT(G651:N651,$G$2:$N$2)*1000/Assumptions!$C$15</f>
        <v>114.91861573313781</v>
      </c>
      <c r="Q651" s="43">
        <f>IF(ISNUMBER(Finder!$G$5),Finder!$D$8*Assumptions!$C$16*2*ASIN(SQRT(SIN(RADIANS(E651-Finder!$G$5)/2)^2+COS(RADIANS(Finder!$G$5))*COS(RADIANS(E651))*SIN(RADIANS(F651-Finder!$G$6)/2)^2)),"")</f>
        <v>590.77884420006819</v>
      </c>
      <c r="R651" s="39">
        <f>IF(ISNUMBER(Q651),IF(Q651&lt;=Finder!$D$7,1,0),0)</f>
        <v>0</v>
      </c>
      <c r="S651" s="39" t="str">
        <f>IF(R651=1,O651+ROW()*0.000000001,"")</f>
        <v/>
      </c>
      <c r="T651" s="39" t="str">
        <f>IF(O651&gt;0,INDEX(Calc!$B$4:$B$11,MATCH(MAX(G651:N651),G651:N651,0)),"-")</f>
        <v>Cane Trash</v>
      </c>
    </row>
    <row r="652" spans="1:20">
      <c r="A652" s="39">
        <v>649</v>
      </c>
      <c r="B652" s="39" t="s">
        <v>722</v>
      </c>
      <c r="C652" s="39" t="s">
        <v>737</v>
      </c>
      <c r="D652" s="39" t="str">
        <f>B652&amp;"|"&amp;C652</f>
        <v>Uttar Pradesh|Bareilly</v>
      </c>
      <c r="E652" s="40">
        <v>28.37</v>
      </c>
      <c r="F652" s="40">
        <v>79.430000000000007</v>
      </c>
      <c r="G652" s="41">
        <v>66.36</v>
      </c>
      <c r="H652" s="41">
        <v>75.150000000000006</v>
      </c>
      <c r="I652" s="41">
        <v>2.7951000000000001</v>
      </c>
      <c r="J652" s="41">
        <v>16.094000000000001</v>
      </c>
      <c r="K652" s="41">
        <v>1715.4</v>
      </c>
      <c r="L652" s="41">
        <v>200.13</v>
      </c>
      <c r="M652" s="41">
        <v>0</v>
      </c>
      <c r="N652" s="41">
        <v>0</v>
      </c>
      <c r="O652" s="42">
        <f>SUM(G652:N652)</f>
        <v>2075.9291000000003</v>
      </c>
      <c r="P652" s="42">
        <f>SUMPRODUCT(G652:N652,$G$2:$N$2)*1000/Assumptions!$C$15</f>
        <v>617.55892608680358</v>
      </c>
      <c r="Q652" s="43">
        <f>IF(ISNUMBER(Finder!$G$5),Finder!$D$8*Assumptions!$C$16*2*ASIN(SQRT(SIN(RADIANS(E652-Finder!$G$5)/2)^2+COS(RADIANS(Finder!$G$5))*COS(RADIANS(E652))*SIN(RADIANS(F652-Finder!$G$6)/2)^2)),"")</f>
        <v>371.87978511742131</v>
      </c>
      <c r="R652" s="39">
        <f>IF(ISNUMBER(Q652),IF(Q652&lt;=Finder!$D$7,1,0),0)</f>
        <v>0</v>
      </c>
      <c r="S652" s="39" t="str">
        <f>IF(R652=1,O652+ROW()*0.000000001,"")</f>
        <v/>
      </c>
      <c r="T652" s="39" t="str">
        <f>IF(O652&gt;0,INDEX(Calc!$B$4:$B$11,MATCH(MAX(G652:N652),G652:N652,0)),"-")</f>
        <v>Cane Trash</v>
      </c>
    </row>
    <row r="653" spans="1:20">
      <c r="A653" s="39">
        <v>650</v>
      </c>
      <c r="B653" s="39" t="s">
        <v>722</v>
      </c>
      <c r="C653" s="39" t="s">
        <v>738</v>
      </c>
      <c r="D653" s="39" t="str">
        <f>B653&amp;"|"&amp;C653</f>
        <v>Uttar Pradesh|Basti</v>
      </c>
      <c r="E653" s="40">
        <v>26.8</v>
      </c>
      <c r="F653" s="40">
        <v>82.73</v>
      </c>
      <c r="G653" s="41">
        <v>58.38</v>
      </c>
      <c r="H653" s="41">
        <v>57.6</v>
      </c>
      <c r="I653" s="41">
        <v>7.2648999999999999</v>
      </c>
      <c r="J653" s="41">
        <v>9.6438000000000006</v>
      </c>
      <c r="K653" s="41">
        <v>682.02</v>
      </c>
      <c r="L653" s="41">
        <v>79.569000000000003</v>
      </c>
      <c r="M653" s="41">
        <v>0</v>
      </c>
      <c r="N653" s="41">
        <v>0</v>
      </c>
      <c r="O653" s="42">
        <f>SUM(G653:N653)</f>
        <v>894.47769999999991</v>
      </c>
      <c r="P653" s="42">
        <f>SUMPRODUCT(G653:N653,$G$2:$N$2)*1000/Assumptions!$C$15</f>
        <v>270.18775822932548</v>
      </c>
      <c r="Q653" s="43">
        <f>IF(ISNUMBER(Finder!$G$5),Finder!$D$8*Assumptions!$C$16*2*ASIN(SQRT(SIN(RADIANS(E653-Finder!$G$5)/2)^2+COS(RADIANS(Finder!$G$5))*COS(RADIANS(E653))*SIN(RADIANS(F653-Finder!$G$6)/2)^2)),"")</f>
        <v>736.15125290157164</v>
      </c>
      <c r="R653" s="39">
        <f>IF(ISNUMBER(Q653),IF(Q653&lt;=Finder!$D$7,1,0),0)</f>
        <v>0</v>
      </c>
      <c r="S653" s="39" t="str">
        <f>IF(R653=1,O653+ROW()*0.000000001,"")</f>
        <v/>
      </c>
      <c r="T653" s="39" t="str">
        <f>IF(O653&gt;0,INDEX(Calc!$B$4:$B$11,MATCH(MAX(G653:N653),G653:N653,0)),"-")</f>
        <v>Cane Trash</v>
      </c>
    </row>
    <row r="654" spans="1:20">
      <c r="A654" s="39">
        <v>651</v>
      </c>
      <c r="B654" s="39" t="s">
        <v>722</v>
      </c>
      <c r="C654" s="39" t="s">
        <v>739</v>
      </c>
      <c r="D654" s="39" t="str">
        <f>B654&amp;"|"&amp;C654</f>
        <v>Uttar Pradesh|Bhadohi</v>
      </c>
      <c r="E654" s="40">
        <v>25.4</v>
      </c>
      <c r="F654" s="40">
        <v>82.57</v>
      </c>
      <c r="G654" s="41">
        <v>25.2</v>
      </c>
      <c r="H654" s="41">
        <v>21.6</v>
      </c>
      <c r="I654" s="41">
        <v>1.1665000000000001</v>
      </c>
      <c r="J654" s="41">
        <v>0.28910000000000002</v>
      </c>
      <c r="K654" s="41">
        <v>0</v>
      </c>
      <c r="L654" s="41">
        <v>0</v>
      </c>
      <c r="M654" s="41">
        <v>0</v>
      </c>
      <c r="N654" s="41">
        <v>0</v>
      </c>
      <c r="O654" s="42">
        <f>SUM(G654:N654)</f>
        <v>48.255599999999994</v>
      </c>
      <c r="P654" s="42">
        <f>SUMPRODUCT(G654:N654,$G$2:$N$2)*1000/Assumptions!$C$15</f>
        <v>17.582950057478005</v>
      </c>
      <c r="Q654" s="43">
        <f>IF(ISNUMBER(Finder!$G$5),Finder!$D$8*Assumptions!$C$16*2*ASIN(SQRT(SIN(RADIANS(E654-Finder!$G$5)/2)^2+COS(RADIANS(Finder!$G$5))*COS(RADIANS(E654))*SIN(RADIANS(F654-Finder!$G$6)/2)^2)),"")</f>
        <v>794.85331593122089</v>
      </c>
      <c r="R654" s="39">
        <f>IF(ISNUMBER(Q654),IF(Q654&lt;=Finder!$D$7,1,0),0)</f>
        <v>0</v>
      </c>
      <c r="S654" s="39" t="str">
        <f>IF(R654=1,O654+ROW()*0.000000001,"")</f>
        <v/>
      </c>
      <c r="T654" s="39" t="str">
        <f>IF(O654&gt;0,INDEX(Calc!$B$4:$B$11,MATCH(MAX(G654:N654),G654:N654,0)),"-")</f>
        <v>Paddy Straw</v>
      </c>
    </row>
    <row r="655" spans="1:20">
      <c r="A655" s="39">
        <v>652</v>
      </c>
      <c r="B655" s="39" t="s">
        <v>722</v>
      </c>
      <c r="C655" s="39" t="s">
        <v>740</v>
      </c>
      <c r="D655" s="39" t="str">
        <f>B655&amp;"|"&amp;C655</f>
        <v>Uttar Pradesh|Bijnor</v>
      </c>
      <c r="E655" s="40">
        <v>29.37</v>
      </c>
      <c r="F655" s="40">
        <v>78.14</v>
      </c>
      <c r="G655" s="41">
        <v>12.18</v>
      </c>
      <c r="H655" s="41">
        <v>57.6</v>
      </c>
      <c r="I655" s="41">
        <v>1.9400000000000001E-2</v>
      </c>
      <c r="J655" s="41">
        <v>10.268599999999999</v>
      </c>
      <c r="K655" s="41">
        <v>4143.96</v>
      </c>
      <c r="L655" s="41">
        <v>483.46199999999999</v>
      </c>
      <c r="M655" s="41">
        <v>0</v>
      </c>
      <c r="N655" s="41">
        <v>0</v>
      </c>
      <c r="O655" s="42">
        <f>SUM(G655:N655)</f>
        <v>4707.49</v>
      </c>
      <c r="P655" s="42">
        <f>SUMPRODUCT(G655:N655,$G$2:$N$2)*1000/Assumptions!$C$15</f>
        <v>1381.7354407448681</v>
      </c>
      <c r="Q655" s="43">
        <f>IF(ISNUMBER(Finder!$G$5),Finder!$D$8*Assumptions!$C$16*2*ASIN(SQRT(SIN(RADIANS(E655-Finder!$G$5)/2)^2+COS(RADIANS(Finder!$G$5))*COS(RADIANS(E655))*SIN(RADIANS(F655-Finder!$G$6)/2)^2)),"")</f>
        <v>236.02520564558728</v>
      </c>
      <c r="R655" s="39">
        <f>IF(ISNUMBER(Q655),IF(Q655&lt;=Finder!$D$7,1,0),0)</f>
        <v>0</v>
      </c>
      <c r="S655" s="39" t="str">
        <f>IF(R655=1,O655+ROW()*0.000000001,"")</f>
        <v/>
      </c>
      <c r="T655" s="39" t="str">
        <f>IF(O655&gt;0,INDEX(Calc!$B$4:$B$11,MATCH(MAX(G655:N655),G655:N655,0)),"-")</f>
        <v>Cane Trash</v>
      </c>
    </row>
    <row r="656" spans="1:20">
      <c r="A656" s="39">
        <v>653</v>
      </c>
      <c r="B656" s="39" t="s">
        <v>722</v>
      </c>
      <c r="C656" s="39" t="s">
        <v>741</v>
      </c>
      <c r="D656" s="39" t="str">
        <f>B656&amp;"|"&amp;C656</f>
        <v>Uttar Pradesh|Budaun</v>
      </c>
      <c r="E656" s="40">
        <v>28.04</v>
      </c>
      <c r="F656" s="40">
        <v>79.13</v>
      </c>
      <c r="G656" s="41">
        <v>70.98</v>
      </c>
      <c r="H656" s="41">
        <v>85.95</v>
      </c>
      <c r="I656" s="41">
        <v>23.342500000000001</v>
      </c>
      <c r="J656" s="41">
        <v>50.695399999999999</v>
      </c>
      <c r="K656" s="41">
        <v>309.77999999999997</v>
      </c>
      <c r="L656" s="41">
        <v>36.140999999999998</v>
      </c>
      <c r="M656" s="41">
        <v>0</v>
      </c>
      <c r="N656" s="41">
        <v>0</v>
      </c>
      <c r="O656" s="42">
        <f>SUM(G656:N656)</f>
        <v>576.88889999999992</v>
      </c>
      <c r="P656" s="42">
        <f>SUMPRODUCT(G656:N656,$G$2:$N$2)*1000/Assumptions!$C$15</f>
        <v>180.45668665513196</v>
      </c>
      <c r="Q656" s="43">
        <f>IF(ISNUMBER(Finder!$G$5),Finder!$D$8*Assumptions!$C$16*2*ASIN(SQRT(SIN(RADIANS(E656-Finder!$G$5)/2)^2+COS(RADIANS(Finder!$G$5))*COS(RADIANS(E656))*SIN(RADIANS(F656-Finder!$G$6)/2)^2)),"")</f>
        <v>355.04776680932719</v>
      </c>
      <c r="R656" s="39">
        <f>IF(ISNUMBER(Q656),IF(Q656&lt;=Finder!$D$7,1,0),0)</f>
        <v>0</v>
      </c>
      <c r="S656" s="39" t="str">
        <f>IF(R656=1,O656+ROW()*0.000000001,"")</f>
        <v/>
      </c>
      <c r="T656" s="39" t="str">
        <f>IF(O656&gt;0,INDEX(Calc!$B$4:$B$11,MATCH(MAX(G656:N656),G656:N656,0)),"-")</f>
        <v>Cane Trash</v>
      </c>
    </row>
    <row r="657" spans="1:20">
      <c r="A657" s="39">
        <v>654</v>
      </c>
      <c r="B657" s="39" t="s">
        <v>722</v>
      </c>
      <c r="C657" s="39" t="s">
        <v>742</v>
      </c>
      <c r="D657" s="39" t="str">
        <f>B657&amp;"|"&amp;C657</f>
        <v>Uttar Pradesh|Bulandshahr</v>
      </c>
      <c r="E657" s="40">
        <v>28.4</v>
      </c>
      <c r="F657" s="40">
        <v>77.849999999999994</v>
      </c>
      <c r="G657" s="41">
        <v>60.06</v>
      </c>
      <c r="H657" s="41">
        <v>80.099999999999994</v>
      </c>
      <c r="I657" s="41">
        <v>130.04349999999999</v>
      </c>
      <c r="J657" s="41">
        <v>12.664</v>
      </c>
      <c r="K657" s="41">
        <v>1218.06</v>
      </c>
      <c r="L657" s="41">
        <v>142.107</v>
      </c>
      <c r="M657" s="41">
        <v>0</v>
      </c>
      <c r="N657" s="41">
        <v>0</v>
      </c>
      <c r="O657" s="42">
        <f>SUM(G657:N657)</f>
        <v>1643.0344999999998</v>
      </c>
      <c r="P657" s="42">
        <f>SUMPRODUCT(G657:N657,$G$2:$N$2)*1000/Assumptions!$C$15</f>
        <v>491.09235158651029</v>
      </c>
      <c r="Q657" s="43">
        <f>IF(ISNUMBER(Finder!$G$5),Finder!$D$8*Assumptions!$C$16*2*ASIN(SQRT(SIN(RADIANS(E657-Finder!$G$5)/2)^2+COS(RADIANS(Finder!$G$5))*COS(RADIANS(E657))*SIN(RADIANS(F657-Finder!$G$6)/2)^2)),"")</f>
        <v>223.71826292449913</v>
      </c>
      <c r="R657" s="39">
        <f>IF(ISNUMBER(Q657),IF(Q657&lt;=Finder!$D$7,1,0),0)</f>
        <v>0</v>
      </c>
      <c r="S657" s="39" t="str">
        <f>IF(R657=1,O657+ROW()*0.000000001,"")</f>
        <v/>
      </c>
      <c r="T657" s="39" t="str">
        <f>IF(O657&gt;0,INDEX(Calc!$B$4:$B$11,MATCH(MAX(G657:N657),G657:N657,0)),"-")</f>
        <v>Cane Trash</v>
      </c>
    </row>
    <row r="658" spans="1:20">
      <c r="A658" s="39">
        <v>655</v>
      </c>
      <c r="B658" s="39" t="s">
        <v>722</v>
      </c>
      <c r="C658" s="39" t="s">
        <v>743</v>
      </c>
      <c r="D658" s="39" t="str">
        <f>B658&amp;"|"&amp;C658</f>
        <v>Uttar Pradesh|Chandauli</v>
      </c>
      <c r="E658" s="40">
        <v>25.26</v>
      </c>
      <c r="F658" s="40">
        <v>83.27</v>
      </c>
      <c r="G658" s="41">
        <v>50.82</v>
      </c>
      <c r="H658" s="41">
        <v>47.7</v>
      </c>
      <c r="I658" s="41">
        <v>0.11550000000000001</v>
      </c>
      <c r="J658" s="41">
        <v>3.3504</v>
      </c>
      <c r="K658" s="41">
        <v>0</v>
      </c>
      <c r="L658" s="41">
        <v>0</v>
      </c>
      <c r="M658" s="41">
        <v>0</v>
      </c>
      <c r="N658" s="41">
        <v>0</v>
      </c>
      <c r="O658" s="42">
        <f>SUM(G658:N658)</f>
        <v>101.9859</v>
      </c>
      <c r="P658" s="42">
        <f>SUMPRODUCT(G658:N658,$G$2:$N$2)*1000/Assumptions!$C$15</f>
        <v>37.132529690322578</v>
      </c>
      <c r="Q658" s="43">
        <f>IF(ISNUMBER(Finder!$G$5),Finder!$D$8*Assumptions!$C$16*2*ASIN(SQRT(SIN(RADIANS(E658-Finder!$G$5)/2)^2+COS(RADIANS(Finder!$G$5))*COS(RADIANS(E658))*SIN(RADIANS(F658-Finder!$G$6)/2)^2)),"")</f>
        <v>862.57322611441361</v>
      </c>
      <c r="R658" s="39">
        <f>IF(ISNUMBER(Q658),IF(Q658&lt;=Finder!$D$7,1,0),0)</f>
        <v>0</v>
      </c>
      <c r="S658" s="39" t="str">
        <f>IF(R658=1,O658+ROW()*0.000000001,"")</f>
        <v/>
      </c>
      <c r="T658" s="39" t="str">
        <f>IF(O658&gt;0,INDEX(Calc!$B$4:$B$11,MATCH(MAX(G658:N658),G658:N658,0)),"-")</f>
        <v>Paddy Straw</v>
      </c>
    </row>
    <row r="659" spans="1:20">
      <c r="A659" s="39">
        <v>656</v>
      </c>
      <c r="B659" s="39" t="s">
        <v>722</v>
      </c>
      <c r="C659" s="39" t="s">
        <v>744</v>
      </c>
      <c r="D659" s="39" t="str">
        <f>B659&amp;"|"&amp;C659</f>
        <v>Uttar Pradesh|Chitrakoot</v>
      </c>
      <c r="E659" s="40">
        <v>25.2</v>
      </c>
      <c r="F659" s="40">
        <v>80.900000000000006</v>
      </c>
      <c r="G659" s="41">
        <v>15.12</v>
      </c>
      <c r="H659" s="41">
        <v>27.45</v>
      </c>
      <c r="I659" s="41">
        <v>2.7300000000000001E-2</v>
      </c>
      <c r="J659" s="41">
        <v>1.9490000000000001</v>
      </c>
      <c r="K659" s="41">
        <v>0</v>
      </c>
      <c r="L659" s="41">
        <v>0</v>
      </c>
      <c r="M659" s="41">
        <v>1.8E-3</v>
      </c>
      <c r="N659" s="41">
        <v>0</v>
      </c>
      <c r="O659" s="42">
        <f>SUM(G659:N659)</f>
        <v>44.548099999999998</v>
      </c>
      <c r="P659" s="42">
        <f>SUMPRODUCT(G659:N659,$G$2:$N$2)*1000/Assumptions!$C$15</f>
        <v>16.186174463343107</v>
      </c>
      <c r="Q659" s="43">
        <f>IF(ISNUMBER(Finder!$G$5),Finder!$D$8*Assumptions!$C$16*2*ASIN(SQRT(SIN(RADIANS(E659-Finder!$G$5)/2)^2+COS(RADIANS(Finder!$G$5))*COS(RADIANS(E659))*SIN(RADIANS(F659-Finder!$G$6)/2)^2)),"")</f>
        <v>674.72518553693703</v>
      </c>
      <c r="R659" s="39">
        <f>IF(ISNUMBER(Q659),IF(Q659&lt;=Finder!$D$7,1,0),0)</f>
        <v>0</v>
      </c>
      <c r="S659" s="39" t="str">
        <f>IF(R659=1,O659+ROW()*0.000000001,"")</f>
        <v/>
      </c>
      <c r="T659" s="39" t="str">
        <f>IF(O659&gt;0,INDEX(Calc!$B$4:$B$11,MATCH(MAX(G659:N659),G659:N659,0)),"-")</f>
        <v>Wheat Straw</v>
      </c>
    </row>
    <row r="660" spans="1:20">
      <c r="A660" s="39">
        <v>657</v>
      </c>
      <c r="B660" s="39" t="s">
        <v>722</v>
      </c>
      <c r="C660" s="39" t="s">
        <v>745</v>
      </c>
      <c r="D660" s="39" t="str">
        <f>B660&amp;"|"&amp;C660</f>
        <v>Uttar Pradesh|Deoria</v>
      </c>
      <c r="E660" s="40">
        <v>26.5</v>
      </c>
      <c r="F660" s="40">
        <v>83.78</v>
      </c>
      <c r="G660" s="41">
        <v>58.8</v>
      </c>
      <c r="H660" s="41">
        <v>64.8</v>
      </c>
      <c r="I660" s="41">
        <v>10.588200000000001</v>
      </c>
      <c r="J660" s="41">
        <v>10.5822</v>
      </c>
      <c r="K660" s="41">
        <v>119.52</v>
      </c>
      <c r="L660" s="41">
        <v>13.944000000000001</v>
      </c>
      <c r="M660" s="41">
        <v>0</v>
      </c>
      <c r="N660" s="41">
        <v>0</v>
      </c>
      <c r="O660" s="42">
        <f>SUM(G660:N660)</f>
        <v>278.23439999999999</v>
      </c>
      <c r="P660" s="42">
        <f>SUMPRODUCT(G660:N660,$G$2:$N$2)*1000/Assumptions!$C$15</f>
        <v>90.561018411730188</v>
      </c>
      <c r="Q660" s="43">
        <f>IF(ISNUMBER(Finder!$G$5),Finder!$D$8*Assumptions!$C$16*2*ASIN(SQRT(SIN(RADIANS(E660-Finder!$G$5)/2)^2+COS(RADIANS(Finder!$G$5))*COS(RADIANS(E660))*SIN(RADIANS(F660-Finder!$G$6)/2)^2)),"")</f>
        <v>845.35304763041518</v>
      </c>
      <c r="R660" s="39">
        <f>IF(ISNUMBER(Q660),IF(Q660&lt;=Finder!$D$7,1,0),0)</f>
        <v>0</v>
      </c>
      <c r="S660" s="39" t="str">
        <f>IF(R660=1,O660+ROW()*0.000000001,"")</f>
        <v/>
      </c>
      <c r="T660" s="39" t="str">
        <f>IF(O660&gt;0,INDEX(Calc!$B$4:$B$11,MATCH(MAX(G660:N660),G660:N660,0)),"-")</f>
        <v>Cane Trash</v>
      </c>
    </row>
    <row r="661" spans="1:20">
      <c r="A661" s="39">
        <v>658</v>
      </c>
      <c r="B661" s="39" t="s">
        <v>722</v>
      </c>
      <c r="C661" s="39" t="s">
        <v>746</v>
      </c>
      <c r="D661" s="39" t="str">
        <f>B661&amp;"|"&amp;C661</f>
        <v>Uttar Pradesh|Etah</v>
      </c>
      <c r="E661" s="40">
        <v>27.56</v>
      </c>
      <c r="F661" s="40">
        <v>78.66</v>
      </c>
      <c r="G661" s="41">
        <v>36.96</v>
      </c>
      <c r="H661" s="41">
        <v>51.75</v>
      </c>
      <c r="I661" s="41">
        <v>113.3087</v>
      </c>
      <c r="J661" s="41">
        <v>84.920699999999997</v>
      </c>
      <c r="K661" s="41">
        <v>0</v>
      </c>
      <c r="L661" s="41">
        <v>0</v>
      </c>
      <c r="M661" s="41">
        <v>0</v>
      </c>
      <c r="N661" s="41">
        <v>0</v>
      </c>
      <c r="O661" s="42">
        <f>SUM(G661:N661)</f>
        <v>286.93940000000003</v>
      </c>
      <c r="P661" s="42">
        <f>SUMPRODUCT(G661:N661,$G$2:$N$2)*1000/Assumptions!$C$15</f>
        <v>90.832513021700876</v>
      </c>
      <c r="Q661" s="43">
        <f>IF(ISNUMBER(Finder!$G$5),Finder!$D$8*Assumptions!$C$16*2*ASIN(SQRT(SIN(RADIANS(E661-Finder!$G$5)/2)^2+COS(RADIANS(Finder!$G$5))*COS(RADIANS(E661))*SIN(RADIANS(F661-Finder!$G$6)/2)^2)),"")</f>
        <v>337.65378924986516</v>
      </c>
      <c r="R661" s="39">
        <f>IF(ISNUMBER(Q661),IF(Q661&lt;=Finder!$D$7,1,0),0)</f>
        <v>0</v>
      </c>
      <c r="S661" s="39" t="str">
        <f>IF(R661=1,O661+ROW()*0.000000001,"")</f>
        <v/>
      </c>
      <c r="T661" s="39" t="str">
        <f>IF(O661&gt;0,INDEX(Calc!$B$4:$B$11,MATCH(MAX(G661:N661),G661:N661,0)),"-")</f>
        <v>Maize Stover</v>
      </c>
    </row>
    <row r="662" spans="1:20">
      <c r="A662" s="39">
        <v>659</v>
      </c>
      <c r="B662" s="39" t="s">
        <v>722</v>
      </c>
      <c r="C662" s="39" t="s">
        <v>747</v>
      </c>
      <c r="D662" s="39" t="str">
        <f>B662&amp;"|"&amp;C662</f>
        <v>Uttar Pradesh|Etawah</v>
      </c>
      <c r="E662" s="40">
        <v>26.78</v>
      </c>
      <c r="F662" s="40">
        <v>79.02</v>
      </c>
      <c r="G662" s="41">
        <v>30.66</v>
      </c>
      <c r="H662" s="41">
        <v>40.950000000000003</v>
      </c>
      <c r="I662" s="41">
        <v>20.329000000000001</v>
      </c>
      <c r="J662" s="41">
        <v>27.459599999999998</v>
      </c>
      <c r="K662" s="41">
        <v>0</v>
      </c>
      <c r="L662" s="41">
        <v>0</v>
      </c>
      <c r="M662" s="41">
        <v>0</v>
      </c>
      <c r="N662" s="41">
        <v>0</v>
      </c>
      <c r="O662" s="42">
        <f>SUM(G662:N662)</f>
        <v>119.39859999999999</v>
      </c>
      <c r="P662" s="42">
        <f>SUMPRODUCT(G662:N662,$G$2:$N$2)*1000/Assumptions!$C$15</f>
        <v>40.307487236363642</v>
      </c>
      <c r="Q662" s="43">
        <f>IF(ISNUMBER(Finder!$G$5),Finder!$D$8*Assumptions!$C$16*2*ASIN(SQRT(SIN(RADIANS(E662-Finder!$G$5)/2)^2+COS(RADIANS(Finder!$G$5))*COS(RADIANS(E662))*SIN(RADIANS(F662-Finder!$G$6)/2)^2)),"")</f>
        <v>417.67670649270241</v>
      </c>
      <c r="R662" s="39">
        <f>IF(ISNUMBER(Q662),IF(Q662&lt;=Finder!$D$7,1,0),0)</f>
        <v>0</v>
      </c>
      <c r="S662" s="39" t="str">
        <f>IF(R662=1,O662+ROW()*0.000000001,"")</f>
        <v/>
      </c>
      <c r="T662" s="39" t="str">
        <f>IF(O662&gt;0,INDEX(Calc!$B$4:$B$11,MATCH(MAX(G662:N662),G662:N662,0)),"-")</f>
        <v>Wheat Straw</v>
      </c>
    </row>
    <row r="663" spans="1:20">
      <c r="A663" s="39">
        <v>660</v>
      </c>
      <c r="B663" s="39" t="s">
        <v>722</v>
      </c>
      <c r="C663" s="39" t="s">
        <v>748</v>
      </c>
      <c r="D663" s="39" t="str">
        <f>B663&amp;"|"&amp;C663</f>
        <v>Uttar Pradesh|Farrukhabad</v>
      </c>
      <c r="E663" s="40">
        <v>27.39</v>
      </c>
      <c r="F663" s="40">
        <v>79.58</v>
      </c>
      <c r="G663" s="41">
        <v>42.84</v>
      </c>
      <c r="H663" s="41">
        <v>30.6</v>
      </c>
      <c r="I663" s="41">
        <v>120.99460000000001</v>
      </c>
      <c r="J663" s="41">
        <v>6.6242000000000001</v>
      </c>
      <c r="K663" s="41">
        <v>120.96</v>
      </c>
      <c r="L663" s="41">
        <v>14.112</v>
      </c>
      <c r="M663" s="41">
        <v>0</v>
      </c>
      <c r="N663" s="41">
        <v>0</v>
      </c>
      <c r="O663" s="42">
        <f>SUM(G663:N663)</f>
        <v>336.13080000000002</v>
      </c>
      <c r="P663" s="42">
        <f>SUMPRODUCT(G663:N663,$G$2:$N$2)*1000/Assumptions!$C$15</f>
        <v>103.96004538651025</v>
      </c>
      <c r="Q663" s="43">
        <f>IF(ISNUMBER(Finder!$G$5),Finder!$D$8*Assumptions!$C$16*2*ASIN(SQRT(SIN(RADIANS(E663-Finder!$G$5)/2)^2+COS(RADIANS(Finder!$G$5))*COS(RADIANS(E663))*SIN(RADIANS(F663-Finder!$G$6)/2)^2)),"")</f>
        <v>425.63413364774152</v>
      </c>
      <c r="R663" s="39">
        <f>IF(ISNUMBER(Q663),IF(Q663&lt;=Finder!$D$7,1,0),0)</f>
        <v>0</v>
      </c>
      <c r="S663" s="39" t="str">
        <f>IF(R663=1,O663+ROW()*0.000000001,"")</f>
        <v/>
      </c>
      <c r="T663" s="39" t="str">
        <f>IF(O663&gt;0,INDEX(Calc!$B$4:$B$11,MATCH(MAX(G663:N663),G663:N663,0)),"-")</f>
        <v>Maize Stover</v>
      </c>
    </row>
    <row r="664" spans="1:20">
      <c r="A664" s="39">
        <v>661</v>
      </c>
      <c r="B664" s="39" t="s">
        <v>722</v>
      </c>
      <c r="C664" s="39" t="s">
        <v>749</v>
      </c>
      <c r="D664" s="39" t="str">
        <f>B664&amp;"|"&amp;C664</f>
        <v>Uttar Pradesh|Fatehpur</v>
      </c>
      <c r="E664" s="40">
        <v>25.93</v>
      </c>
      <c r="F664" s="40">
        <v>80.81</v>
      </c>
      <c r="G664" s="41">
        <v>76.02</v>
      </c>
      <c r="H664" s="41">
        <v>76.95</v>
      </c>
      <c r="I664" s="41">
        <v>1.1434</v>
      </c>
      <c r="J664" s="41">
        <v>18.5367</v>
      </c>
      <c r="K664" s="41">
        <v>0</v>
      </c>
      <c r="L664" s="41">
        <v>0</v>
      </c>
      <c r="M664" s="41">
        <v>0</v>
      </c>
      <c r="N664" s="41">
        <v>0</v>
      </c>
      <c r="O664" s="42">
        <f>SUM(G664:N664)</f>
        <v>172.65010000000001</v>
      </c>
      <c r="P664" s="42">
        <f>SUMPRODUCT(G664:N664,$G$2:$N$2)*1000/Assumptions!$C$15</f>
        <v>61.861331558944279</v>
      </c>
      <c r="Q664" s="43">
        <f>IF(ISNUMBER(Finder!$G$5),Finder!$D$8*Assumptions!$C$16*2*ASIN(SQRT(SIN(RADIANS(E664-Finder!$G$5)/2)^2+COS(RADIANS(Finder!$G$5))*COS(RADIANS(E664))*SIN(RADIANS(F664-Finder!$G$6)/2)^2)),"")</f>
        <v>616.35661149046246</v>
      </c>
      <c r="R664" s="39">
        <f>IF(ISNUMBER(Q664),IF(Q664&lt;=Finder!$D$7,1,0),0)</f>
        <v>0</v>
      </c>
      <c r="S664" s="39" t="str">
        <f>IF(R664=1,O664+ROW()*0.000000001,"")</f>
        <v/>
      </c>
      <c r="T664" s="39" t="str">
        <f>IF(O664&gt;0,INDEX(Calc!$B$4:$B$11,MATCH(MAX(G664:N664),G664:N664,0)),"-")</f>
        <v>Wheat Straw</v>
      </c>
    </row>
    <row r="665" spans="1:20">
      <c r="A665" s="39">
        <v>662</v>
      </c>
      <c r="B665" s="39" t="s">
        <v>722</v>
      </c>
      <c r="C665" s="39" t="s">
        <v>750</v>
      </c>
      <c r="D665" s="39" t="str">
        <f>B665&amp;"|"&amp;C665</f>
        <v>Uttar Pradesh|Firozabad</v>
      </c>
      <c r="E665" s="40">
        <v>27.15</v>
      </c>
      <c r="F665" s="40">
        <v>78.400000000000006</v>
      </c>
      <c r="G665" s="41">
        <v>20.58</v>
      </c>
      <c r="H665" s="41">
        <v>41.85</v>
      </c>
      <c r="I665" s="41">
        <v>22.746099999999998</v>
      </c>
      <c r="J665" s="41">
        <v>20.228400000000001</v>
      </c>
      <c r="K665" s="41">
        <v>0</v>
      </c>
      <c r="L665" s="41">
        <v>0</v>
      </c>
      <c r="M665" s="41">
        <v>0</v>
      </c>
      <c r="N665" s="41">
        <v>0</v>
      </c>
      <c r="O665" s="42">
        <f>SUM(G665:N665)</f>
        <v>105.40449999999998</v>
      </c>
      <c r="P665" s="42">
        <f>SUMPRODUCT(G665:N665,$G$2:$N$2)*1000/Assumptions!$C$15</f>
        <v>35.526298510263935</v>
      </c>
      <c r="Q665" s="43">
        <f>IF(ISNUMBER(Finder!$G$5),Finder!$D$8*Assumptions!$C$16*2*ASIN(SQRT(SIN(RADIANS(E665-Finder!$G$5)/2)^2+COS(RADIANS(Finder!$G$5))*COS(RADIANS(E665))*SIN(RADIANS(F665-Finder!$G$6)/2)^2)),"")</f>
        <v>344.2102962126271</v>
      </c>
      <c r="R665" s="39">
        <f>IF(ISNUMBER(Q665),IF(Q665&lt;=Finder!$D$7,1,0),0)</f>
        <v>0</v>
      </c>
      <c r="S665" s="39" t="str">
        <f>IF(R665=1,O665+ROW()*0.000000001,"")</f>
        <v/>
      </c>
      <c r="T665" s="39" t="str">
        <f>IF(O665&gt;0,INDEX(Calc!$B$4:$B$11,MATCH(MAX(G665:N665),G665:N665,0)),"-")</f>
        <v>Wheat Straw</v>
      </c>
    </row>
    <row r="666" spans="1:20">
      <c r="A666" s="39">
        <v>663</v>
      </c>
      <c r="B666" s="39" t="s">
        <v>722</v>
      </c>
      <c r="C666" s="39" t="s">
        <v>751</v>
      </c>
      <c r="D666" s="39" t="str">
        <f>B666&amp;"|"&amp;C666</f>
        <v>Uttar Pradesh|Gautam Buddha Nagar</v>
      </c>
      <c r="E666" s="40">
        <v>28.47</v>
      </c>
      <c r="F666" s="40">
        <v>77.510000000000005</v>
      </c>
      <c r="G666" s="41">
        <v>11.76</v>
      </c>
      <c r="H666" s="41">
        <v>22.95</v>
      </c>
      <c r="I666" s="41">
        <v>1.0033000000000001</v>
      </c>
      <c r="J666" s="41">
        <v>0.6976</v>
      </c>
      <c r="K666" s="41">
        <v>0</v>
      </c>
      <c r="L666" s="41">
        <v>0</v>
      </c>
      <c r="M666" s="41">
        <v>0</v>
      </c>
      <c r="N666" s="41">
        <v>0</v>
      </c>
      <c r="O666" s="42">
        <f>SUM(G666:N666)</f>
        <v>36.410900000000005</v>
      </c>
      <c r="P666" s="42">
        <f>SUMPRODUCT(G666:N666,$G$2:$N$2)*1000/Assumptions!$C$15</f>
        <v>13.223471948387099</v>
      </c>
      <c r="Q666" s="43">
        <f>IF(ISNUMBER(Finder!$G$5),Finder!$D$8*Assumptions!$C$16*2*ASIN(SQRT(SIN(RADIANS(E666-Finder!$G$5)/2)^2+COS(RADIANS(Finder!$G$5))*COS(RADIANS(E666))*SIN(RADIANS(F666-Finder!$G$6)/2)^2)),"")</f>
        <v>190.0847122213352</v>
      </c>
      <c r="R666" s="39">
        <f>IF(ISNUMBER(Q666),IF(Q666&lt;=Finder!$D$7,1,0),0)</f>
        <v>0</v>
      </c>
      <c r="S666" s="39" t="str">
        <f>IF(R666=1,O666+ROW()*0.000000001,"")</f>
        <v/>
      </c>
      <c r="T666" s="39" t="str">
        <f>IF(O666&gt;0,INDEX(Calc!$B$4:$B$11,MATCH(MAX(G666:N666),G666:N666,0)),"-")</f>
        <v>Wheat Straw</v>
      </c>
    </row>
    <row r="667" spans="1:20">
      <c r="A667" s="39">
        <v>664</v>
      </c>
      <c r="B667" s="39" t="s">
        <v>722</v>
      </c>
      <c r="C667" s="39" t="s">
        <v>752</v>
      </c>
      <c r="D667" s="39" t="str">
        <f>B667&amp;"|"&amp;C667</f>
        <v>Uttar Pradesh|Ghaziabad</v>
      </c>
      <c r="E667" s="40">
        <v>28.67</v>
      </c>
      <c r="F667" s="40">
        <v>77.45</v>
      </c>
      <c r="G667" s="41">
        <v>2.1</v>
      </c>
      <c r="H667" s="41">
        <v>12.15</v>
      </c>
      <c r="I667" s="41">
        <v>9.6100000000000005E-2</v>
      </c>
      <c r="J667" s="41">
        <v>1.2158</v>
      </c>
      <c r="K667" s="41">
        <v>386.46</v>
      </c>
      <c r="L667" s="41">
        <v>45.087000000000003</v>
      </c>
      <c r="M667" s="41">
        <v>0</v>
      </c>
      <c r="N667" s="41">
        <v>0</v>
      </c>
      <c r="O667" s="42">
        <f>SUM(G667:N667)</f>
        <v>447.10889999999995</v>
      </c>
      <c r="P667" s="42">
        <f>SUMPRODUCT(G667:N667,$G$2:$N$2)*1000/Assumptions!$C$15</f>
        <v>131.80044390439883</v>
      </c>
      <c r="Q667" s="43">
        <f>IF(ISNUMBER(Finder!$G$5),Finder!$D$8*Assumptions!$C$16*2*ASIN(SQRT(SIN(RADIANS(E667-Finder!$G$5)/2)^2+COS(RADIANS(Finder!$G$5))*COS(RADIANS(E667))*SIN(RADIANS(F667-Finder!$G$6)/2)^2)),"")</f>
        <v>176.64825949026672</v>
      </c>
      <c r="R667" s="39">
        <f>IF(ISNUMBER(Q667),IF(Q667&lt;=Finder!$D$7,1,0),0)</f>
        <v>0</v>
      </c>
      <c r="S667" s="39" t="str">
        <f>IF(R667=1,O667+ROW()*0.000000001,"")</f>
        <v/>
      </c>
      <c r="T667" s="39" t="str">
        <f>IF(O667&gt;0,INDEX(Calc!$B$4:$B$11,MATCH(MAX(G667:N667),G667:N667,0)),"-")</f>
        <v>Cane Trash</v>
      </c>
    </row>
    <row r="668" spans="1:20">
      <c r="A668" s="39">
        <v>665</v>
      </c>
      <c r="B668" s="39" t="s">
        <v>722</v>
      </c>
      <c r="C668" s="39" t="s">
        <v>753</v>
      </c>
      <c r="D668" s="39" t="str">
        <f>B668&amp;"|"&amp;C668</f>
        <v>Uttar Pradesh|Ghazipur</v>
      </c>
      <c r="E668" s="40">
        <v>25.58</v>
      </c>
      <c r="F668" s="40">
        <v>83.58</v>
      </c>
      <c r="G668" s="41">
        <v>75.599999999999994</v>
      </c>
      <c r="H668" s="41">
        <v>76.95</v>
      </c>
      <c r="I668" s="41">
        <v>2.2343999999999999</v>
      </c>
      <c r="J668" s="41">
        <v>8.2657000000000007</v>
      </c>
      <c r="K668" s="41">
        <v>44.28</v>
      </c>
      <c r="L668" s="41">
        <v>5.1660000000000004</v>
      </c>
      <c r="M668" s="41">
        <v>0</v>
      </c>
      <c r="N668" s="41">
        <v>0</v>
      </c>
      <c r="O668" s="42">
        <f>SUM(G668:N668)</f>
        <v>212.49610000000001</v>
      </c>
      <c r="P668" s="42">
        <f>SUMPRODUCT(G668:N668,$G$2:$N$2)*1000/Assumptions!$C$15</f>
        <v>73.465575306744867</v>
      </c>
      <c r="Q668" s="43">
        <f>IF(ISNUMBER(Finder!$G$5),Finder!$D$8*Assumptions!$C$16*2*ASIN(SQRT(SIN(RADIANS(E668-Finder!$G$5)/2)^2+COS(RADIANS(Finder!$G$5))*COS(RADIANS(E668))*SIN(RADIANS(F668-Finder!$G$6)/2)^2)),"")</f>
        <v>871.492944711836</v>
      </c>
      <c r="R668" s="39">
        <f>IF(ISNUMBER(Q668),IF(Q668&lt;=Finder!$D$7,1,0),0)</f>
        <v>0</v>
      </c>
      <c r="S668" s="39" t="str">
        <f>IF(R668=1,O668+ROW()*0.000000001,"")</f>
        <v/>
      </c>
      <c r="T668" s="39" t="str">
        <f>IF(O668&gt;0,INDEX(Calc!$B$4:$B$11,MATCH(MAX(G668:N668),G668:N668,0)),"-")</f>
        <v>Wheat Straw</v>
      </c>
    </row>
    <row r="669" spans="1:20">
      <c r="A669" s="39">
        <v>666</v>
      </c>
      <c r="B669" s="39" t="s">
        <v>722</v>
      </c>
      <c r="C669" s="39" t="s">
        <v>754</v>
      </c>
      <c r="D669" s="39" t="str">
        <f>B669&amp;"|"&amp;C669</f>
        <v>Uttar Pradesh|Gonda</v>
      </c>
      <c r="E669" s="40">
        <v>27.13</v>
      </c>
      <c r="F669" s="40">
        <v>81.96</v>
      </c>
      <c r="G669" s="41">
        <v>57.54</v>
      </c>
      <c r="H669" s="41">
        <v>63.9</v>
      </c>
      <c r="I669" s="41">
        <v>99.962100000000007</v>
      </c>
      <c r="J669" s="41">
        <v>8.5058000000000007</v>
      </c>
      <c r="K669" s="41">
        <v>1353.24</v>
      </c>
      <c r="L669" s="41">
        <v>157.87799999999999</v>
      </c>
      <c r="M669" s="41">
        <v>0</v>
      </c>
      <c r="N669" s="41">
        <v>0</v>
      </c>
      <c r="O669" s="42">
        <f>SUM(G669:N669)</f>
        <v>1741.0258999999999</v>
      </c>
      <c r="P669" s="42">
        <f>SUMPRODUCT(G669:N669,$G$2:$N$2)*1000/Assumptions!$C$15</f>
        <v>518.29822724457472</v>
      </c>
      <c r="Q669" s="43">
        <f>IF(ISNUMBER(Finder!$G$5),Finder!$D$8*Assumptions!$C$16*2*ASIN(SQRT(SIN(RADIANS(E669-Finder!$G$5)/2)^2+COS(RADIANS(Finder!$G$5))*COS(RADIANS(E669))*SIN(RADIANS(F669-Finder!$G$6)/2)^2)),"")</f>
        <v>651.64892216836984</v>
      </c>
      <c r="R669" s="39">
        <f>IF(ISNUMBER(Q669),IF(Q669&lt;=Finder!$D$7,1,0),0)</f>
        <v>0</v>
      </c>
      <c r="S669" s="39" t="str">
        <f>IF(R669=1,O669+ROW()*0.000000001,"")</f>
        <v/>
      </c>
      <c r="T669" s="39" t="str">
        <f>IF(O669&gt;0,INDEX(Calc!$B$4:$B$11,MATCH(MAX(G669:N669),G669:N669,0)),"-")</f>
        <v>Cane Trash</v>
      </c>
    </row>
    <row r="670" spans="1:20">
      <c r="A670" s="39">
        <v>667</v>
      </c>
      <c r="B670" s="39" t="s">
        <v>722</v>
      </c>
      <c r="C670" s="39" t="s">
        <v>755</v>
      </c>
      <c r="D670" s="39" t="str">
        <f>B670&amp;"|"&amp;C670</f>
        <v>Uttar Pradesh|Gorakhpur</v>
      </c>
      <c r="E670" s="40">
        <v>26.76</v>
      </c>
      <c r="F670" s="40">
        <v>83.37</v>
      </c>
      <c r="G670" s="41">
        <v>64.680000000000007</v>
      </c>
      <c r="H670" s="41">
        <v>77.849999999999994</v>
      </c>
      <c r="I670" s="41">
        <v>5.3886000000000003</v>
      </c>
      <c r="J670" s="41">
        <v>8.8543000000000003</v>
      </c>
      <c r="K670" s="41">
        <v>26.82</v>
      </c>
      <c r="L670" s="41">
        <v>3.129</v>
      </c>
      <c r="M670" s="41">
        <v>0</v>
      </c>
      <c r="N670" s="41">
        <v>0</v>
      </c>
      <c r="O670" s="42">
        <f>SUM(G670:N670)</f>
        <v>186.72189999999998</v>
      </c>
      <c r="P670" s="42">
        <f>SUMPRODUCT(G670:N670,$G$2:$N$2)*1000/Assumptions!$C$15</f>
        <v>65.192536930791789</v>
      </c>
      <c r="Q670" s="43">
        <f>IF(ISNUMBER(Finder!$G$5),Finder!$D$8*Assumptions!$C$16*2*ASIN(SQRT(SIN(RADIANS(E670-Finder!$G$5)/2)^2+COS(RADIANS(Finder!$G$5))*COS(RADIANS(E670))*SIN(RADIANS(F670-Finder!$G$6)/2)^2)),"")</f>
        <v>796.78728284645547</v>
      </c>
      <c r="R670" s="39">
        <f>IF(ISNUMBER(Q670),IF(Q670&lt;=Finder!$D$7,1,0),0)</f>
        <v>0</v>
      </c>
      <c r="S670" s="39" t="str">
        <f>IF(R670=1,O670+ROW()*0.000000001,"")</f>
        <v/>
      </c>
      <c r="T670" s="39" t="str">
        <f>IF(O670&gt;0,INDEX(Calc!$B$4:$B$11,MATCH(MAX(G670:N670),G670:N670,0)),"-")</f>
        <v>Wheat Straw</v>
      </c>
    </row>
    <row r="671" spans="1:20">
      <c r="A671" s="39">
        <v>668</v>
      </c>
      <c r="B671" s="39" t="s">
        <v>722</v>
      </c>
      <c r="C671" s="39" t="s">
        <v>287</v>
      </c>
      <c r="D671" s="39" t="str">
        <f>B671&amp;"|"&amp;C671</f>
        <v>Uttar Pradesh|Hamirpur</v>
      </c>
      <c r="E671" s="40">
        <v>25.95</v>
      </c>
      <c r="F671" s="40">
        <v>80.150000000000006</v>
      </c>
      <c r="G671" s="41">
        <v>8.4</v>
      </c>
      <c r="H671" s="41">
        <v>61.2</v>
      </c>
      <c r="I671" s="41">
        <v>0</v>
      </c>
      <c r="J671" s="41">
        <v>9.9593000000000007</v>
      </c>
      <c r="K671" s="41">
        <v>0</v>
      </c>
      <c r="L671" s="41">
        <v>0</v>
      </c>
      <c r="M671" s="41">
        <v>2.5999999999999999E-3</v>
      </c>
      <c r="N671" s="41">
        <v>0</v>
      </c>
      <c r="O671" s="42">
        <f>SUM(G671:N671)</f>
        <v>79.561900000000009</v>
      </c>
      <c r="P671" s="42">
        <f>SUMPRODUCT(G671:N671,$G$2:$N$2)*1000/Assumptions!$C$15</f>
        <v>28.442841985923756</v>
      </c>
      <c r="Q671" s="43">
        <f>IF(ISNUMBER(Finder!$G$5),Finder!$D$8*Assumptions!$C$16*2*ASIN(SQRT(SIN(RADIANS(E671-Finder!$G$5)/2)^2+COS(RADIANS(Finder!$G$5))*COS(RADIANS(E671))*SIN(RADIANS(F671-Finder!$G$6)/2)^2)),"")</f>
        <v>563.24014164779783</v>
      </c>
      <c r="R671" s="39">
        <f>IF(ISNUMBER(Q671),IF(Q671&lt;=Finder!$D$7,1,0),0)</f>
        <v>0</v>
      </c>
      <c r="S671" s="39" t="str">
        <f>IF(R671=1,O671+ROW()*0.000000001,"")</f>
        <v/>
      </c>
      <c r="T671" s="39" t="str">
        <f>IF(O671&gt;0,INDEX(Calc!$B$4:$B$11,MATCH(MAX(G671:N671),G671:N671,0)),"-")</f>
        <v>Wheat Straw</v>
      </c>
    </row>
    <row r="672" spans="1:20">
      <c r="A672" s="39">
        <v>669</v>
      </c>
      <c r="B672" s="39" t="s">
        <v>722</v>
      </c>
      <c r="C672" s="39" t="s">
        <v>756</v>
      </c>
      <c r="D672" s="39" t="str">
        <f>B672&amp;"|"&amp;C672</f>
        <v>Uttar Pradesh|Hapur</v>
      </c>
      <c r="E672" s="40">
        <v>28.73</v>
      </c>
      <c r="F672" s="40">
        <v>77.78</v>
      </c>
      <c r="G672" s="41">
        <v>6.3</v>
      </c>
      <c r="H672" s="41">
        <v>18.45</v>
      </c>
      <c r="I672" s="41">
        <v>4.0214999999999996</v>
      </c>
      <c r="J672" s="41">
        <v>2.6821000000000002</v>
      </c>
      <c r="K672" s="41">
        <v>642.6</v>
      </c>
      <c r="L672" s="41">
        <v>74.97</v>
      </c>
      <c r="M672" s="41">
        <v>0</v>
      </c>
      <c r="N672" s="41">
        <v>0</v>
      </c>
      <c r="O672" s="42">
        <f>SUM(G672:N672)</f>
        <v>749.0236000000001</v>
      </c>
      <c r="P672" s="42">
        <f>SUMPRODUCT(G672:N672,$G$2:$N$2)*1000/Assumptions!$C$15</f>
        <v>220.87301318944284</v>
      </c>
      <c r="Q672" s="43">
        <f>IF(ISNUMBER(Finder!$G$5),Finder!$D$8*Assumptions!$C$16*2*ASIN(SQRT(SIN(RADIANS(E672-Finder!$G$5)/2)^2+COS(RADIANS(Finder!$G$5))*COS(RADIANS(E672))*SIN(RADIANS(F672-Finder!$G$6)/2)^2)),"")</f>
        <v>205.82294975152672</v>
      </c>
      <c r="R672" s="39">
        <f>IF(ISNUMBER(Q672),IF(Q672&lt;=Finder!$D$7,1,0),0)</f>
        <v>0</v>
      </c>
      <c r="S672" s="39" t="str">
        <f>IF(R672=1,O672+ROW()*0.000000001,"")</f>
        <v/>
      </c>
      <c r="T672" s="39" t="str">
        <f>IF(O672&gt;0,INDEX(Calc!$B$4:$B$11,MATCH(MAX(G672:N672),G672:N672,0)),"-")</f>
        <v>Cane Trash</v>
      </c>
    </row>
    <row r="673" spans="1:20">
      <c r="A673" s="39">
        <v>670</v>
      </c>
      <c r="B673" s="39" t="s">
        <v>722</v>
      </c>
      <c r="C673" s="39" t="s">
        <v>757</v>
      </c>
      <c r="D673" s="39" t="str">
        <f>B673&amp;"|"&amp;C673</f>
        <v>Uttar Pradesh|Hardoi</v>
      </c>
      <c r="E673" s="40">
        <v>27.4</v>
      </c>
      <c r="F673" s="40">
        <v>80.13</v>
      </c>
      <c r="G673" s="41">
        <v>76.02</v>
      </c>
      <c r="H673" s="41">
        <v>138.15</v>
      </c>
      <c r="I673" s="41">
        <v>105.69929999999999</v>
      </c>
      <c r="J673" s="41">
        <v>15.8294</v>
      </c>
      <c r="K673" s="41">
        <v>1222.02</v>
      </c>
      <c r="L673" s="41">
        <v>142.56899999999999</v>
      </c>
      <c r="M673" s="41">
        <v>0</v>
      </c>
      <c r="N673" s="41">
        <v>0</v>
      </c>
      <c r="O673" s="42">
        <f>SUM(G673:N673)</f>
        <v>1700.2876999999999</v>
      </c>
      <c r="P673" s="42">
        <f>SUMPRODUCT(G673:N673,$G$2:$N$2)*1000/Assumptions!$C$15</f>
        <v>513.28367602991193</v>
      </c>
      <c r="Q673" s="43">
        <f>IF(ISNUMBER(Finder!$G$5),Finder!$D$8*Assumptions!$C$16*2*ASIN(SQRT(SIN(RADIANS(E673-Finder!$G$5)/2)^2+COS(RADIANS(Finder!$G$5))*COS(RADIANS(E673))*SIN(RADIANS(F673-Finder!$G$6)/2)^2)),"")</f>
        <v>473.6260686988328</v>
      </c>
      <c r="R673" s="39">
        <f>IF(ISNUMBER(Q673),IF(Q673&lt;=Finder!$D$7,1,0),0)</f>
        <v>0</v>
      </c>
      <c r="S673" s="39" t="str">
        <f>IF(R673=1,O673+ROW()*0.000000001,"")</f>
        <v/>
      </c>
      <c r="T673" s="39" t="str">
        <f>IF(O673&gt;0,INDEX(Calc!$B$4:$B$11,MATCH(MAX(G673:N673),G673:N673,0)),"-")</f>
        <v>Cane Trash</v>
      </c>
    </row>
    <row r="674" spans="1:20">
      <c r="A674" s="39">
        <v>671</v>
      </c>
      <c r="B674" s="39" t="s">
        <v>722</v>
      </c>
      <c r="C674" s="39" t="s">
        <v>758</v>
      </c>
      <c r="D674" s="39" t="str">
        <f>B674&amp;"|"&amp;C674</f>
        <v>Uttar Pradesh|Hathras</v>
      </c>
      <c r="E674" s="40">
        <v>27.6</v>
      </c>
      <c r="F674" s="40">
        <v>78.05</v>
      </c>
      <c r="G674" s="41">
        <v>26.04</v>
      </c>
      <c r="H674" s="41">
        <v>30.6</v>
      </c>
      <c r="I674" s="41">
        <v>14.0143</v>
      </c>
      <c r="J674" s="41">
        <v>18.672699999999999</v>
      </c>
      <c r="K674" s="41">
        <v>0</v>
      </c>
      <c r="L674" s="41">
        <v>0</v>
      </c>
      <c r="M674" s="41">
        <v>0</v>
      </c>
      <c r="N674" s="41">
        <v>0</v>
      </c>
      <c r="O674" s="42">
        <f>SUM(G674:N674)</f>
        <v>89.326999999999998</v>
      </c>
      <c r="P674" s="42">
        <f>SUMPRODUCT(G674:N674,$G$2:$N$2)*1000/Assumptions!$C$15</f>
        <v>30.377553935483874</v>
      </c>
      <c r="Q674" s="43">
        <f>IF(ISNUMBER(Finder!$G$5),Finder!$D$8*Assumptions!$C$16*2*ASIN(SQRT(SIN(RADIANS(E674-Finder!$G$5)/2)^2+COS(RADIANS(Finder!$G$5))*COS(RADIANS(E674))*SIN(RADIANS(F674-Finder!$G$6)/2)^2)),"")</f>
        <v>285.76561909738416</v>
      </c>
      <c r="R674" s="39">
        <f>IF(ISNUMBER(Q674),IF(Q674&lt;=Finder!$D$7,1,0),0)</f>
        <v>0</v>
      </c>
      <c r="S674" s="39" t="str">
        <f>IF(R674=1,O674+ROW()*0.000000001,"")</f>
        <v/>
      </c>
      <c r="T674" s="39" t="str">
        <f>IF(O674&gt;0,INDEX(Calc!$B$4:$B$11,MATCH(MAX(G674:N674),G674:N674,0)),"-")</f>
        <v>Wheat Straw</v>
      </c>
    </row>
    <row r="675" spans="1:20">
      <c r="A675" s="39">
        <v>672</v>
      </c>
      <c r="B675" s="39" t="s">
        <v>722</v>
      </c>
      <c r="C675" s="39" t="s">
        <v>759</v>
      </c>
      <c r="D675" s="39" t="str">
        <f>B675&amp;"|"&amp;C675</f>
        <v>Uttar Pradesh|Jalaun</v>
      </c>
      <c r="E675" s="40">
        <v>25.99</v>
      </c>
      <c r="F675" s="40">
        <v>79.45</v>
      </c>
      <c r="G675" s="41">
        <v>21.84</v>
      </c>
      <c r="H675" s="41">
        <v>71.55</v>
      </c>
      <c r="I675" s="41">
        <v>1.26E-2</v>
      </c>
      <c r="J675" s="41">
        <v>20.480799999999999</v>
      </c>
      <c r="K675" s="41">
        <v>0</v>
      </c>
      <c r="L675" s="41">
        <v>0</v>
      </c>
      <c r="M675" s="41">
        <v>2.01E-2</v>
      </c>
      <c r="N675" s="41">
        <v>0</v>
      </c>
      <c r="O675" s="42">
        <f>SUM(G675:N675)</f>
        <v>113.90350000000001</v>
      </c>
      <c r="P675" s="42">
        <f>SUMPRODUCT(G675:N675,$G$2:$N$2)*1000/Assumptions!$C$15</f>
        <v>40.267634641642225</v>
      </c>
      <c r="Q675" s="43">
        <f>IF(ISNUMBER(Finder!$G$5),Finder!$D$8*Assumptions!$C$16*2*ASIN(SQRT(SIN(RADIANS(E675-Finder!$G$5)/2)^2+COS(RADIANS(Finder!$G$5))*COS(RADIANS(E675))*SIN(RADIANS(F675-Finder!$G$6)/2)^2)),"")</f>
        <v>508.49409611430929</v>
      </c>
      <c r="R675" s="39">
        <f>IF(ISNUMBER(Q675),IF(Q675&lt;=Finder!$D$7,1,0),0)</f>
        <v>0</v>
      </c>
      <c r="S675" s="39" t="str">
        <f>IF(R675=1,O675+ROW()*0.000000001,"")</f>
        <v/>
      </c>
      <c r="T675" s="39" t="str">
        <f>IF(O675&gt;0,INDEX(Calc!$B$4:$B$11,MATCH(MAX(G675:N675),G675:N675,0)),"-")</f>
        <v>Wheat Straw</v>
      </c>
    </row>
    <row r="676" spans="1:20">
      <c r="A676" s="39">
        <v>673</v>
      </c>
      <c r="B676" s="39" t="s">
        <v>722</v>
      </c>
      <c r="C676" s="39" t="s">
        <v>760</v>
      </c>
      <c r="D676" s="39" t="str">
        <f>B676&amp;"|"&amp;C676</f>
        <v>Uttar Pradesh|Jaunpur</v>
      </c>
      <c r="E676" s="40">
        <v>25.75</v>
      </c>
      <c r="F676" s="40">
        <v>82.69</v>
      </c>
      <c r="G676" s="41">
        <v>70.98</v>
      </c>
      <c r="H676" s="41">
        <v>90.9</v>
      </c>
      <c r="I676" s="41">
        <v>150.9102</v>
      </c>
      <c r="J676" s="41">
        <v>23.170300000000001</v>
      </c>
      <c r="K676" s="41">
        <v>25.74</v>
      </c>
      <c r="L676" s="41">
        <v>3.0030000000000001</v>
      </c>
      <c r="M676" s="41">
        <v>0</v>
      </c>
      <c r="N676" s="41">
        <v>0</v>
      </c>
      <c r="O676" s="42">
        <f>SUM(G676:N676)</f>
        <v>364.70350000000002</v>
      </c>
      <c r="P676" s="42">
        <f>SUMPRODUCT(G676:N676,$G$2:$N$2)*1000/Assumptions!$C$15</f>
        <v>118.95402418475075</v>
      </c>
      <c r="Q676" s="43">
        <f>IF(ISNUMBER(Finder!$G$5),Finder!$D$8*Assumptions!$C$16*2*ASIN(SQRT(SIN(RADIANS(E676-Finder!$G$5)/2)^2+COS(RADIANS(Finder!$G$5))*COS(RADIANS(E676))*SIN(RADIANS(F676-Finder!$G$6)/2)^2)),"")</f>
        <v>784.59211463915904</v>
      </c>
      <c r="R676" s="39">
        <f>IF(ISNUMBER(Q676),IF(Q676&lt;=Finder!$D$7,1,0),0)</f>
        <v>0</v>
      </c>
      <c r="S676" s="39" t="str">
        <f>IF(R676=1,O676+ROW()*0.000000001,"")</f>
        <v/>
      </c>
      <c r="T676" s="39" t="str">
        <f>IF(O676&gt;0,INDEX(Calc!$B$4:$B$11,MATCH(MAX(G676:N676),G676:N676,0)),"-")</f>
        <v>Maize Stover</v>
      </c>
    </row>
    <row r="677" spans="1:20">
      <c r="A677" s="39">
        <v>674</v>
      </c>
      <c r="B677" s="39" t="s">
        <v>722</v>
      </c>
      <c r="C677" s="39" t="s">
        <v>761</v>
      </c>
      <c r="D677" s="39" t="str">
        <f>B677&amp;"|"&amp;C677</f>
        <v>Uttar Pradesh|Jhansi</v>
      </c>
      <c r="E677" s="40">
        <v>25.45</v>
      </c>
      <c r="F677" s="40">
        <v>78.569999999999993</v>
      </c>
      <c r="G677" s="41">
        <v>26.46</v>
      </c>
      <c r="H677" s="41">
        <v>76.05</v>
      </c>
      <c r="I677" s="41">
        <v>1.7278</v>
      </c>
      <c r="J677" s="41">
        <v>11.960900000000001</v>
      </c>
      <c r="K677" s="41">
        <v>0</v>
      </c>
      <c r="L677" s="41">
        <v>0</v>
      </c>
      <c r="M677" s="41">
        <v>0.87760000000000005</v>
      </c>
      <c r="N677" s="41">
        <v>0</v>
      </c>
      <c r="O677" s="42">
        <f>SUM(G677:N677)</f>
        <v>117.07629999999999</v>
      </c>
      <c r="P677" s="42">
        <f>SUMPRODUCT(G677:N677,$G$2:$N$2)*1000/Assumptions!$C$15</f>
        <v>41.879579347800579</v>
      </c>
      <c r="Q677" s="43">
        <f>IF(ISNUMBER(Finder!$G$5),Finder!$D$8*Assumptions!$C$16*2*ASIN(SQRT(SIN(RADIANS(E677-Finder!$G$5)/2)^2+COS(RADIANS(Finder!$G$5))*COS(RADIANS(E677))*SIN(RADIANS(F677-Finder!$G$6)/2)^2)),"")</f>
        <v>498.51509652860898</v>
      </c>
      <c r="R677" s="39">
        <f>IF(ISNUMBER(Q677),IF(Q677&lt;=Finder!$D$7,1,0),0)</f>
        <v>0</v>
      </c>
      <c r="S677" s="39" t="str">
        <f>IF(R677=1,O677+ROW()*0.000000001,"")</f>
        <v/>
      </c>
      <c r="T677" s="39" t="str">
        <f>IF(O677&gt;0,INDEX(Calc!$B$4:$B$11,MATCH(MAX(G677:N677),G677:N677,0)),"-")</f>
        <v>Wheat Straw</v>
      </c>
    </row>
    <row r="678" spans="1:20">
      <c r="A678" s="39">
        <v>675</v>
      </c>
      <c r="B678" s="39" t="s">
        <v>722</v>
      </c>
      <c r="C678" s="39" t="s">
        <v>762</v>
      </c>
      <c r="D678" s="39" t="str">
        <f>B678&amp;"|"&amp;C678</f>
        <v>Uttar Pradesh|Kannauj</v>
      </c>
      <c r="E678" s="40">
        <v>27.06</v>
      </c>
      <c r="F678" s="40">
        <v>79.92</v>
      </c>
      <c r="G678" s="41">
        <v>18.059999999999999</v>
      </c>
      <c r="H678" s="41">
        <v>27</v>
      </c>
      <c r="I678" s="41">
        <v>201.7963</v>
      </c>
      <c r="J678" s="41">
        <v>13.527699999999999</v>
      </c>
      <c r="K678" s="41">
        <v>0</v>
      </c>
      <c r="L678" s="41">
        <v>0</v>
      </c>
      <c r="M678" s="41">
        <v>0</v>
      </c>
      <c r="N678" s="41">
        <v>0</v>
      </c>
      <c r="O678" s="42">
        <f>SUM(G678:N678)</f>
        <v>260.38400000000001</v>
      </c>
      <c r="P678" s="42">
        <f>SUMPRODUCT(G678:N678,$G$2:$N$2)*1000/Assumptions!$C$15</f>
        <v>79.861340422287384</v>
      </c>
      <c r="Q678" s="43">
        <f>IF(ISNUMBER(Finder!$G$5),Finder!$D$8*Assumptions!$C$16*2*ASIN(SQRT(SIN(RADIANS(E678-Finder!$G$5)/2)^2+COS(RADIANS(Finder!$G$5))*COS(RADIANS(E678))*SIN(RADIANS(F678-Finder!$G$6)/2)^2)),"")</f>
        <v>472.92705604200819</v>
      </c>
      <c r="R678" s="39">
        <f>IF(ISNUMBER(Q678),IF(Q678&lt;=Finder!$D$7,1,0),0)</f>
        <v>0</v>
      </c>
      <c r="S678" s="39" t="str">
        <f>IF(R678=1,O678+ROW()*0.000000001,"")</f>
        <v/>
      </c>
      <c r="T678" s="39" t="str">
        <f>IF(O678&gt;0,INDEX(Calc!$B$4:$B$11,MATCH(MAX(G678:N678),G678:N678,0)),"-")</f>
        <v>Maize Stover</v>
      </c>
    </row>
    <row r="679" spans="1:20">
      <c r="A679" s="39">
        <v>676</v>
      </c>
      <c r="B679" s="39" t="s">
        <v>722</v>
      </c>
      <c r="C679" s="39" t="s">
        <v>763</v>
      </c>
      <c r="D679" s="39" t="str">
        <f>B679&amp;"|"&amp;C679</f>
        <v>Uttar Pradesh|Kanpur Dehat</v>
      </c>
      <c r="E679" s="40">
        <v>26.43</v>
      </c>
      <c r="F679" s="40">
        <v>79.95</v>
      </c>
      <c r="G679" s="41">
        <v>30.66</v>
      </c>
      <c r="H679" s="41">
        <v>62.1</v>
      </c>
      <c r="I679" s="41">
        <v>45.205599999999997</v>
      </c>
      <c r="J679" s="41">
        <v>46.783999999999999</v>
      </c>
      <c r="K679" s="41">
        <v>0</v>
      </c>
      <c r="L679" s="41">
        <v>0</v>
      </c>
      <c r="M679" s="41">
        <v>0</v>
      </c>
      <c r="N679" s="41">
        <v>0</v>
      </c>
      <c r="O679" s="42">
        <f>SUM(G679:N679)</f>
        <v>184.74959999999999</v>
      </c>
      <c r="P679" s="42">
        <f>SUMPRODUCT(G679:N679,$G$2:$N$2)*1000/Assumptions!$C$15</f>
        <v>61.063240215835776</v>
      </c>
      <c r="Q679" s="43">
        <f>IF(ISNUMBER(Finder!$G$5),Finder!$D$8*Assumptions!$C$16*2*ASIN(SQRT(SIN(RADIANS(E679-Finder!$G$5)/2)^2+COS(RADIANS(Finder!$G$5))*COS(RADIANS(E679))*SIN(RADIANS(F679-Finder!$G$6)/2)^2)),"")</f>
        <v>514.33717881129951</v>
      </c>
      <c r="R679" s="39">
        <f>IF(ISNUMBER(Q679),IF(Q679&lt;=Finder!$D$7,1,0),0)</f>
        <v>0</v>
      </c>
      <c r="S679" s="39" t="str">
        <f>IF(R679=1,O679+ROW()*0.000000001,"")</f>
        <v/>
      </c>
      <c r="T679" s="39" t="str">
        <f>IF(O679&gt;0,INDEX(Calc!$B$4:$B$11,MATCH(MAX(G679:N679),G679:N679,0)),"-")</f>
        <v>Wheat Straw</v>
      </c>
    </row>
    <row r="680" spans="1:20">
      <c r="A680" s="39">
        <v>677</v>
      </c>
      <c r="B680" s="39" t="s">
        <v>722</v>
      </c>
      <c r="C680" s="39" t="s">
        <v>764</v>
      </c>
      <c r="D680" s="39" t="str">
        <f>B680&amp;"|"&amp;C680</f>
        <v>Uttar Pradesh|Kanpur Nagar</v>
      </c>
      <c r="E680" s="40">
        <v>26.45</v>
      </c>
      <c r="F680" s="40">
        <v>80.33</v>
      </c>
      <c r="G680" s="41">
        <v>21.84</v>
      </c>
      <c r="H680" s="41">
        <v>48.15</v>
      </c>
      <c r="I680" s="41">
        <v>73.255300000000005</v>
      </c>
      <c r="J680" s="41">
        <v>41.278199999999998</v>
      </c>
      <c r="K680" s="41">
        <v>55.26</v>
      </c>
      <c r="L680" s="41">
        <v>6.4470000000000001</v>
      </c>
      <c r="M680" s="41">
        <v>0</v>
      </c>
      <c r="N680" s="41">
        <v>0</v>
      </c>
      <c r="O680" s="42">
        <f>SUM(G680:N680)</f>
        <v>246.23049999999998</v>
      </c>
      <c r="P680" s="42">
        <f>SUMPRODUCT(G680:N680,$G$2:$N$2)*1000/Assumptions!$C$15</f>
        <v>77.392899639296175</v>
      </c>
      <c r="Q680" s="43">
        <f>IF(ISNUMBER(Finder!$G$5),Finder!$D$8*Assumptions!$C$16*2*ASIN(SQRT(SIN(RADIANS(E680-Finder!$G$5)/2)^2+COS(RADIANS(Finder!$G$5))*COS(RADIANS(E680))*SIN(RADIANS(F680-Finder!$G$6)/2)^2)),"")</f>
        <v>543.74001184341159</v>
      </c>
      <c r="R680" s="39">
        <f>IF(ISNUMBER(Q680),IF(Q680&lt;=Finder!$D$7,1,0),0)</f>
        <v>0</v>
      </c>
      <c r="S680" s="39" t="str">
        <f>IF(R680=1,O680+ROW()*0.000000001,"")</f>
        <v/>
      </c>
      <c r="T680" s="39" t="str">
        <f>IF(O680&gt;0,INDEX(Calc!$B$4:$B$11,MATCH(MAX(G680:N680),G680:N680,0)),"-")</f>
        <v>Maize Stover</v>
      </c>
    </row>
    <row r="681" spans="1:20">
      <c r="A681" s="39">
        <v>678</v>
      </c>
      <c r="B681" s="39" t="s">
        <v>722</v>
      </c>
      <c r="C681" s="39" t="s">
        <v>765</v>
      </c>
      <c r="D681" s="39" t="str">
        <f>B681&amp;"|"&amp;C681</f>
        <v>Uttar Pradesh|Kasganj</v>
      </c>
      <c r="E681" s="40">
        <v>27.81</v>
      </c>
      <c r="F681" s="40">
        <v>78.650000000000006</v>
      </c>
      <c r="G681" s="41">
        <v>18.899999999999999</v>
      </c>
      <c r="H681" s="41">
        <v>42.3</v>
      </c>
      <c r="I681" s="41">
        <v>130.47399999999999</v>
      </c>
      <c r="J681" s="41">
        <v>15.2157</v>
      </c>
      <c r="K681" s="41">
        <v>78.84</v>
      </c>
      <c r="L681" s="41">
        <v>9.1980000000000004</v>
      </c>
      <c r="M681" s="41">
        <v>0</v>
      </c>
      <c r="N681" s="41">
        <v>0</v>
      </c>
      <c r="O681" s="42">
        <f>SUM(G681:N681)</f>
        <v>294.92769999999996</v>
      </c>
      <c r="P681" s="42">
        <f>SUMPRODUCT(G681:N681,$G$2:$N$2)*1000/Assumptions!$C$15</f>
        <v>91.036072548973621</v>
      </c>
      <c r="Q681" s="43">
        <f>IF(ISNUMBER(Finder!$G$5),Finder!$D$8*Assumptions!$C$16*2*ASIN(SQRT(SIN(RADIANS(E681-Finder!$G$5)/2)^2+COS(RADIANS(Finder!$G$5))*COS(RADIANS(E681))*SIN(RADIANS(F681-Finder!$G$6)/2)^2)),"")</f>
        <v>322.80062347137118</v>
      </c>
      <c r="R681" s="39">
        <f>IF(ISNUMBER(Q681),IF(Q681&lt;=Finder!$D$7,1,0),0)</f>
        <v>0</v>
      </c>
      <c r="S681" s="39" t="str">
        <f>IF(R681=1,O681+ROW()*0.000000001,"")</f>
        <v/>
      </c>
      <c r="T681" s="39" t="str">
        <f>IF(O681&gt;0,INDEX(Calc!$B$4:$B$11,MATCH(MAX(G681:N681),G681:N681,0)),"-")</f>
        <v>Maize Stover</v>
      </c>
    </row>
    <row r="682" spans="1:20">
      <c r="A682" s="39">
        <v>679</v>
      </c>
      <c r="B682" s="39" t="s">
        <v>722</v>
      </c>
      <c r="C682" s="39" t="s">
        <v>766</v>
      </c>
      <c r="D682" s="39" t="str">
        <f>B682&amp;"|"&amp;C682</f>
        <v>Uttar Pradesh|Kaushambi</v>
      </c>
      <c r="E682" s="40">
        <v>25.53</v>
      </c>
      <c r="F682" s="40">
        <v>81.37</v>
      </c>
      <c r="G682" s="41">
        <v>32.340000000000003</v>
      </c>
      <c r="H682" s="41">
        <v>36</v>
      </c>
      <c r="I682" s="41">
        <v>0.4914</v>
      </c>
      <c r="J682" s="41">
        <v>3.8881000000000001</v>
      </c>
      <c r="K682" s="41">
        <v>0</v>
      </c>
      <c r="L682" s="41">
        <v>0</v>
      </c>
      <c r="M682" s="41">
        <v>0</v>
      </c>
      <c r="N682" s="41">
        <v>0</v>
      </c>
      <c r="O682" s="42">
        <f>SUM(G682:N682)</f>
        <v>72.719499999999996</v>
      </c>
      <c r="P682" s="42">
        <f>SUMPRODUCT(G682:N682,$G$2:$N$2)*1000/Assumptions!$C$15</f>
        <v>26.338686868035193</v>
      </c>
      <c r="Q682" s="43">
        <f>IF(ISNUMBER(Finder!$G$5),Finder!$D$8*Assumptions!$C$16*2*ASIN(SQRT(SIN(RADIANS(E682-Finder!$G$5)/2)^2+COS(RADIANS(Finder!$G$5))*COS(RADIANS(E682))*SIN(RADIANS(F682-Finder!$G$6)/2)^2)),"")</f>
        <v>687.91937909008118</v>
      </c>
      <c r="R682" s="39">
        <f>IF(ISNUMBER(Q682),IF(Q682&lt;=Finder!$D$7,1,0),0)</f>
        <v>0</v>
      </c>
      <c r="S682" s="39" t="str">
        <f>IF(R682=1,O682+ROW()*0.000000001,"")</f>
        <v/>
      </c>
      <c r="T682" s="39" t="str">
        <f>IF(O682&gt;0,INDEX(Calc!$B$4:$B$11,MATCH(MAX(G682:N682),G682:N682,0)),"-")</f>
        <v>Wheat Straw</v>
      </c>
    </row>
    <row r="683" spans="1:20">
      <c r="A683" s="39">
        <v>680</v>
      </c>
      <c r="B683" s="39" t="s">
        <v>722</v>
      </c>
      <c r="C683" s="39" t="s">
        <v>767</v>
      </c>
      <c r="D683" s="39" t="str">
        <f>B683&amp;"|"&amp;C683</f>
        <v>Uttar Pradesh|Kheri</v>
      </c>
      <c r="E683" s="40">
        <v>27.95</v>
      </c>
      <c r="F683" s="40">
        <v>80.78</v>
      </c>
      <c r="G683" s="41">
        <v>47.46</v>
      </c>
      <c r="H683" s="41">
        <v>81.900000000000006</v>
      </c>
      <c r="I683" s="41">
        <v>18.601800000000001</v>
      </c>
      <c r="J683" s="41">
        <v>24.529399999999999</v>
      </c>
      <c r="K683" s="41">
        <v>5451.3</v>
      </c>
      <c r="L683" s="41">
        <v>635.98500000000001</v>
      </c>
      <c r="M683" s="41">
        <v>0</v>
      </c>
      <c r="N683" s="41">
        <v>0</v>
      </c>
      <c r="O683" s="42">
        <f>SUM(G683:N683)</f>
        <v>6259.7762000000002</v>
      </c>
      <c r="P683" s="42">
        <f>SUMPRODUCT(G683:N683,$G$2:$N$2)*1000/Assumptions!$C$15</f>
        <v>1840.1234446164221</v>
      </c>
      <c r="Q683" s="43">
        <f>IF(ISNUMBER(Finder!$G$5),Finder!$D$8*Assumptions!$C$16*2*ASIN(SQRT(SIN(RADIANS(E683-Finder!$G$5)/2)^2+COS(RADIANS(Finder!$G$5))*COS(RADIANS(E683))*SIN(RADIANS(F683-Finder!$G$6)/2)^2)),"")</f>
        <v>511.87256398241163</v>
      </c>
      <c r="R683" s="39">
        <f>IF(ISNUMBER(Q683),IF(Q683&lt;=Finder!$D$7,1,0),0)</f>
        <v>0</v>
      </c>
      <c r="S683" s="39" t="str">
        <f>IF(R683=1,O683+ROW()*0.000000001,"")</f>
        <v/>
      </c>
      <c r="T683" s="39" t="str">
        <f>IF(O683&gt;0,INDEX(Calc!$B$4:$B$11,MATCH(MAX(G683:N683),G683:N683,0)),"-")</f>
        <v>Cane Trash</v>
      </c>
    </row>
    <row r="684" spans="1:20">
      <c r="A684" s="39">
        <v>681</v>
      </c>
      <c r="B684" s="39" t="s">
        <v>722</v>
      </c>
      <c r="C684" s="39" t="s">
        <v>768</v>
      </c>
      <c r="D684" s="39" t="str">
        <f>B684&amp;"|"&amp;C684</f>
        <v>Uttar Pradesh|Kushinagar</v>
      </c>
      <c r="E684" s="40">
        <v>26.9</v>
      </c>
      <c r="F684" s="40">
        <v>83.98</v>
      </c>
      <c r="G684" s="41">
        <v>36.54</v>
      </c>
      <c r="H684" s="41">
        <v>50.4</v>
      </c>
      <c r="I684" s="41">
        <v>12.2188</v>
      </c>
      <c r="J684" s="41">
        <v>6.8257000000000003</v>
      </c>
      <c r="K684" s="41">
        <v>1196.82</v>
      </c>
      <c r="L684" s="41">
        <v>139.62899999999999</v>
      </c>
      <c r="M684" s="41">
        <v>0</v>
      </c>
      <c r="N684" s="41">
        <v>0</v>
      </c>
      <c r="O684" s="42">
        <f>SUM(G684:N684)</f>
        <v>1442.4334999999999</v>
      </c>
      <c r="P684" s="42">
        <f>SUMPRODUCT(G684:N684,$G$2:$N$2)*1000/Assumptions!$C$15</f>
        <v>428.26941304692076</v>
      </c>
      <c r="Q684" s="43">
        <f>IF(ISNUMBER(Finder!$G$5),Finder!$D$8*Assumptions!$C$16*2*ASIN(SQRT(SIN(RADIANS(E684-Finder!$G$5)/2)^2+COS(RADIANS(Finder!$G$5))*COS(RADIANS(E684))*SIN(RADIANS(F684-Finder!$G$6)/2)^2)),"")</f>
        <v>848.25627129194049</v>
      </c>
      <c r="R684" s="39">
        <f>IF(ISNUMBER(Q684),IF(Q684&lt;=Finder!$D$7,1,0),0)</f>
        <v>0</v>
      </c>
      <c r="S684" s="39" t="str">
        <f>IF(R684=1,O684+ROW()*0.000000001,"")</f>
        <v/>
      </c>
      <c r="T684" s="39" t="str">
        <f>IF(O684&gt;0,INDEX(Calc!$B$4:$B$11,MATCH(MAX(G684:N684),G684:N684,0)),"-")</f>
        <v>Cane Trash</v>
      </c>
    </row>
    <row r="685" spans="1:20">
      <c r="A685" s="39">
        <v>682</v>
      </c>
      <c r="B685" s="39" t="s">
        <v>722</v>
      </c>
      <c r="C685" s="39" t="s">
        <v>769</v>
      </c>
      <c r="D685" s="39" t="str">
        <f>B685&amp;"|"&amp;C685</f>
        <v>Uttar Pradesh|Lalitpur</v>
      </c>
      <c r="E685" s="40">
        <v>24.69</v>
      </c>
      <c r="F685" s="40">
        <v>78.41</v>
      </c>
      <c r="G685" s="41">
        <v>0.42</v>
      </c>
      <c r="H685" s="41">
        <v>77.400000000000006</v>
      </c>
      <c r="I685" s="41">
        <v>20.256599999999999</v>
      </c>
      <c r="J685" s="41">
        <v>22.648399999999999</v>
      </c>
      <c r="K685" s="41">
        <v>0</v>
      </c>
      <c r="L685" s="41">
        <v>0</v>
      </c>
      <c r="M685" s="41">
        <v>8.8673000000000002</v>
      </c>
      <c r="N685" s="41">
        <v>0</v>
      </c>
      <c r="O685" s="42">
        <f>SUM(G685:N685)</f>
        <v>129.59230000000002</v>
      </c>
      <c r="P685" s="42">
        <f>SUMPRODUCT(G685:N685,$G$2:$N$2)*1000/Assumptions!$C$15</f>
        <v>43.947317340762474</v>
      </c>
      <c r="Q685" s="43">
        <f>IF(ISNUMBER(Finder!$G$5),Finder!$D$8*Assumptions!$C$16*2*ASIN(SQRT(SIN(RADIANS(E685-Finder!$G$5)/2)^2+COS(RADIANS(Finder!$G$5))*COS(RADIANS(E685))*SIN(RADIANS(F685-Finder!$G$6)/2)^2)),"")</f>
        <v>563.03605739059776</v>
      </c>
      <c r="R685" s="39">
        <f>IF(ISNUMBER(Q685),IF(Q685&lt;=Finder!$D$7,1,0),0)</f>
        <v>0</v>
      </c>
      <c r="S685" s="39" t="str">
        <f>IF(R685=1,O685+ROW()*0.000000001,"")</f>
        <v/>
      </c>
      <c r="T685" s="39" t="str">
        <f>IF(O685&gt;0,INDEX(Calc!$B$4:$B$11,MATCH(MAX(G685:N685),G685:N685,0)),"-")</f>
        <v>Wheat Straw</v>
      </c>
    </row>
    <row r="686" spans="1:20">
      <c r="A686" s="39">
        <v>683</v>
      </c>
      <c r="B686" s="39" t="s">
        <v>722</v>
      </c>
      <c r="C686" s="39" t="s">
        <v>770</v>
      </c>
      <c r="D686" s="39" t="str">
        <f>B686&amp;"|"&amp;C686</f>
        <v>Uttar Pradesh|Lucknow</v>
      </c>
      <c r="E686" s="40">
        <v>26.85</v>
      </c>
      <c r="F686" s="40">
        <v>80.95</v>
      </c>
      <c r="G686" s="41">
        <v>15.12</v>
      </c>
      <c r="H686" s="41">
        <v>32.4</v>
      </c>
      <c r="I686" s="41">
        <v>1.3503000000000001</v>
      </c>
      <c r="J686" s="41">
        <v>1.6231</v>
      </c>
      <c r="K686" s="41">
        <v>0</v>
      </c>
      <c r="L686" s="41">
        <v>0</v>
      </c>
      <c r="M686" s="41">
        <v>0</v>
      </c>
      <c r="N686" s="41">
        <v>0</v>
      </c>
      <c r="O686" s="42">
        <f>SUM(G686:N686)</f>
        <v>50.493399999999994</v>
      </c>
      <c r="P686" s="42">
        <f>SUMPRODUCT(G686:N686,$G$2:$N$2)*1000/Assumptions!$C$15</f>
        <v>18.293378282697947</v>
      </c>
      <c r="Q686" s="43">
        <f>IF(ISNUMBER(Finder!$G$5),Finder!$D$8*Assumptions!$C$16*2*ASIN(SQRT(SIN(RADIANS(E686-Finder!$G$5)/2)^2+COS(RADIANS(Finder!$G$5))*COS(RADIANS(E686))*SIN(RADIANS(F686-Finder!$G$6)/2)^2)),"")</f>
        <v>573.55098792547005</v>
      </c>
      <c r="R686" s="39">
        <f>IF(ISNUMBER(Q686),IF(Q686&lt;=Finder!$D$7,1,0),0)</f>
        <v>0</v>
      </c>
      <c r="S686" s="39" t="str">
        <f>IF(R686=1,O686+ROW()*0.000000001,"")</f>
        <v/>
      </c>
      <c r="T686" s="39" t="str">
        <f>IF(O686&gt;0,INDEX(Calc!$B$4:$B$11,MATCH(MAX(G686:N686),G686:N686,0)),"-")</f>
        <v>Wheat Straw</v>
      </c>
    </row>
    <row r="687" spans="1:20">
      <c r="A687" s="39">
        <v>684</v>
      </c>
      <c r="B687" s="39" t="s">
        <v>722</v>
      </c>
      <c r="C687" s="39" t="s">
        <v>771</v>
      </c>
      <c r="D687" s="39" t="str">
        <f>B687&amp;"|"&amp;C687</f>
        <v>Uttar Pradesh|Mahoba</v>
      </c>
      <c r="E687" s="40">
        <v>25.29</v>
      </c>
      <c r="F687" s="40">
        <v>79.87</v>
      </c>
      <c r="G687" s="41">
        <v>0.84</v>
      </c>
      <c r="H687" s="41">
        <v>34.65</v>
      </c>
      <c r="I687" s="41">
        <v>1.47E-2</v>
      </c>
      <c r="J687" s="41">
        <v>6.1837999999999997</v>
      </c>
      <c r="K687" s="41">
        <v>0</v>
      </c>
      <c r="L687" s="41">
        <v>0</v>
      </c>
      <c r="M687" s="41">
        <v>7.7899999999999997E-2</v>
      </c>
      <c r="N687" s="41">
        <v>0</v>
      </c>
      <c r="O687" s="42">
        <f>SUM(G687:N687)</f>
        <v>41.766399999999997</v>
      </c>
      <c r="P687" s="42">
        <f>SUMPRODUCT(G687:N687,$G$2:$N$2)*1000/Assumptions!$C$15</f>
        <v>14.857096362463343</v>
      </c>
      <c r="Q687" s="43">
        <f>IF(ISNUMBER(Finder!$G$5),Finder!$D$8*Assumptions!$C$16*2*ASIN(SQRT(SIN(RADIANS(E687-Finder!$G$5)/2)^2+COS(RADIANS(Finder!$G$5))*COS(RADIANS(E687))*SIN(RADIANS(F687-Finder!$G$6)/2)^2)),"")</f>
        <v>593.70467308275568</v>
      </c>
      <c r="R687" s="39">
        <f>IF(ISNUMBER(Q687),IF(Q687&lt;=Finder!$D$7,1,0),0)</f>
        <v>0</v>
      </c>
      <c r="S687" s="39" t="str">
        <f>IF(R687=1,O687+ROW()*0.000000001,"")</f>
        <v/>
      </c>
      <c r="T687" s="39" t="str">
        <f>IF(O687&gt;0,INDEX(Calc!$B$4:$B$11,MATCH(MAX(G687:N687),G687:N687,0)),"-")</f>
        <v>Wheat Straw</v>
      </c>
    </row>
    <row r="688" spans="1:20">
      <c r="A688" s="39">
        <v>685</v>
      </c>
      <c r="B688" s="39" t="s">
        <v>722</v>
      </c>
      <c r="C688" s="39" t="s">
        <v>772</v>
      </c>
      <c r="D688" s="39" t="str">
        <f>B688&amp;"|"&amp;C688</f>
        <v>Uttar Pradesh|Mahrajganj</v>
      </c>
      <c r="E688" s="40">
        <v>27.13</v>
      </c>
      <c r="F688" s="40">
        <v>83.56</v>
      </c>
      <c r="G688" s="41">
        <v>65.52</v>
      </c>
      <c r="H688" s="41">
        <v>58.95</v>
      </c>
      <c r="I688" s="41">
        <v>1.4679</v>
      </c>
      <c r="J688" s="41">
        <v>9.6235999999999997</v>
      </c>
      <c r="K688" s="41">
        <v>199.26</v>
      </c>
      <c r="L688" s="41">
        <v>23.247</v>
      </c>
      <c r="M688" s="41">
        <v>0</v>
      </c>
      <c r="N688" s="41">
        <v>0</v>
      </c>
      <c r="O688" s="42">
        <f>SUM(G688:N688)</f>
        <v>358.06850000000003</v>
      </c>
      <c r="P688" s="42">
        <f>SUMPRODUCT(G688:N688,$G$2:$N$2)*1000/Assumptions!$C$15</f>
        <v>113.95246071847507</v>
      </c>
      <c r="Q688" s="43">
        <f>IF(ISNUMBER(Finder!$G$5),Finder!$D$8*Assumptions!$C$16*2*ASIN(SQRT(SIN(RADIANS(E688-Finder!$G$5)/2)^2+COS(RADIANS(Finder!$G$5))*COS(RADIANS(E688))*SIN(RADIANS(F688-Finder!$G$6)/2)^2)),"")</f>
        <v>800.66705952606947</v>
      </c>
      <c r="R688" s="39">
        <f>IF(ISNUMBER(Q688),IF(Q688&lt;=Finder!$D$7,1,0),0)</f>
        <v>0</v>
      </c>
      <c r="S688" s="39" t="str">
        <f>IF(R688=1,O688+ROW()*0.000000001,"")</f>
        <v/>
      </c>
      <c r="T688" s="39" t="str">
        <f>IF(O688&gt;0,INDEX(Calc!$B$4:$B$11,MATCH(MAX(G688:N688),G688:N688,0)),"-")</f>
        <v>Cane Trash</v>
      </c>
    </row>
    <row r="689" spans="1:20">
      <c r="A689" s="39">
        <v>686</v>
      </c>
      <c r="B689" s="39" t="s">
        <v>722</v>
      </c>
      <c r="C689" s="39" t="s">
        <v>773</v>
      </c>
      <c r="D689" s="39" t="str">
        <f>B689&amp;"|"&amp;C689</f>
        <v>Uttar Pradesh|Mainpuri</v>
      </c>
      <c r="E689" s="40">
        <v>27.23</v>
      </c>
      <c r="F689" s="40">
        <v>79.03</v>
      </c>
      <c r="G689" s="41">
        <v>27.72</v>
      </c>
      <c r="H689" s="41">
        <v>60.3</v>
      </c>
      <c r="I689" s="41">
        <v>112.6639</v>
      </c>
      <c r="J689" s="41">
        <v>30.506799999999998</v>
      </c>
      <c r="K689" s="41">
        <v>0</v>
      </c>
      <c r="L689" s="41">
        <v>0</v>
      </c>
      <c r="M689" s="41">
        <v>0</v>
      </c>
      <c r="N689" s="41">
        <v>0</v>
      </c>
      <c r="O689" s="42">
        <f>SUM(G689:N689)</f>
        <v>231.19069999999999</v>
      </c>
      <c r="P689" s="42">
        <f>SUMPRODUCT(G689:N689,$G$2:$N$2)*1000/Assumptions!$C$15</f>
        <v>74.382322114956011</v>
      </c>
      <c r="Q689" s="43">
        <f>IF(ISNUMBER(Finder!$G$5),Finder!$D$8*Assumptions!$C$16*2*ASIN(SQRT(SIN(RADIANS(E689-Finder!$G$5)/2)^2+COS(RADIANS(Finder!$G$5))*COS(RADIANS(E689))*SIN(RADIANS(F689-Finder!$G$6)/2)^2)),"")</f>
        <v>388.31614686822871</v>
      </c>
      <c r="R689" s="39">
        <f>IF(ISNUMBER(Q689),IF(Q689&lt;=Finder!$D$7,1,0),0)</f>
        <v>0</v>
      </c>
      <c r="S689" s="39" t="str">
        <f>IF(R689=1,O689+ROW()*0.000000001,"")</f>
        <v/>
      </c>
      <c r="T689" s="39" t="str">
        <f>IF(O689&gt;0,INDEX(Calc!$B$4:$B$11,MATCH(MAX(G689:N689),G689:N689,0)),"-")</f>
        <v>Maize Stover</v>
      </c>
    </row>
    <row r="690" spans="1:20">
      <c r="A690" s="39">
        <v>687</v>
      </c>
      <c r="B690" s="39" t="s">
        <v>722</v>
      </c>
      <c r="C690" s="39" t="s">
        <v>774</v>
      </c>
      <c r="D690" s="39" t="str">
        <f>B690&amp;"|"&amp;C690</f>
        <v>Uttar Pradesh|Mathura</v>
      </c>
      <c r="E690" s="40">
        <v>27.49</v>
      </c>
      <c r="F690" s="40">
        <v>77.67</v>
      </c>
      <c r="G690" s="41">
        <v>47.88</v>
      </c>
      <c r="H690" s="41">
        <v>76.05</v>
      </c>
      <c r="I690" s="41">
        <v>0.99850000000000005</v>
      </c>
      <c r="J690" s="41">
        <v>58.791400000000003</v>
      </c>
      <c r="K690" s="41">
        <v>1.26</v>
      </c>
      <c r="L690" s="41">
        <v>0.14699999999999999</v>
      </c>
      <c r="M690" s="41">
        <v>0</v>
      </c>
      <c r="N690" s="41">
        <v>0</v>
      </c>
      <c r="O690" s="42">
        <f>SUM(G690:N690)</f>
        <v>185.12690000000001</v>
      </c>
      <c r="P690" s="42">
        <f>SUMPRODUCT(G690:N690,$G$2:$N$2)*1000/Assumptions!$C$15</f>
        <v>63.427598825219938</v>
      </c>
      <c r="Q690" s="43">
        <f>IF(ISNUMBER(Finder!$G$5),Finder!$D$8*Assumptions!$C$16*2*ASIN(SQRT(SIN(RADIANS(E690-Finder!$G$5)/2)^2+COS(RADIANS(Finder!$G$5))*COS(RADIANS(E690))*SIN(RADIANS(F690-Finder!$G$6)/2)^2)),"")</f>
        <v>265.51833690299173</v>
      </c>
      <c r="R690" s="39">
        <f>IF(ISNUMBER(Q690),IF(Q690&lt;=Finder!$D$7,1,0),0)</f>
        <v>0</v>
      </c>
      <c r="S690" s="39" t="str">
        <f>IF(R690=1,O690+ROW()*0.000000001,"")</f>
        <v/>
      </c>
      <c r="T690" s="39" t="str">
        <f>IF(O690&gt;0,INDEX(Calc!$B$4:$B$11,MATCH(MAX(G690:N690),G690:N690,0)),"-")</f>
        <v>Wheat Straw</v>
      </c>
    </row>
    <row r="691" spans="1:20">
      <c r="A691" s="39">
        <v>688</v>
      </c>
      <c r="B691" s="39" t="s">
        <v>722</v>
      </c>
      <c r="C691" s="39" t="s">
        <v>775</v>
      </c>
      <c r="D691" s="39" t="str">
        <f>B691&amp;"|"&amp;C691</f>
        <v>Uttar Pradesh|Mau</v>
      </c>
      <c r="E691" s="40">
        <v>25.94</v>
      </c>
      <c r="F691" s="40">
        <v>83.56</v>
      </c>
      <c r="G691" s="41">
        <v>37.799999999999997</v>
      </c>
      <c r="H691" s="41">
        <v>41.4</v>
      </c>
      <c r="I691" s="41">
        <v>2.3866000000000001</v>
      </c>
      <c r="J691" s="41">
        <v>0.22109999999999999</v>
      </c>
      <c r="K691" s="41">
        <v>61.56</v>
      </c>
      <c r="L691" s="41">
        <v>7.1820000000000004</v>
      </c>
      <c r="M691" s="41">
        <v>0</v>
      </c>
      <c r="N691" s="41">
        <v>0</v>
      </c>
      <c r="O691" s="42">
        <f>SUM(G691:N691)</f>
        <v>150.5497</v>
      </c>
      <c r="P691" s="42">
        <f>SUMPRODUCT(G691:N691,$G$2:$N$2)*1000/Assumptions!$C$15</f>
        <v>49.899473252785924</v>
      </c>
      <c r="Q691" s="43">
        <f>IF(ISNUMBER(Finder!$G$5),Finder!$D$8*Assumptions!$C$16*2*ASIN(SQRT(SIN(RADIANS(E691-Finder!$G$5)/2)^2+COS(RADIANS(Finder!$G$5))*COS(RADIANS(E691))*SIN(RADIANS(F691-Finder!$G$6)/2)^2)),"")</f>
        <v>851.10134709851172</v>
      </c>
      <c r="R691" s="39">
        <f>IF(ISNUMBER(Q691),IF(Q691&lt;=Finder!$D$7,1,0),0)</f>
        <v>0</v>
      </c>
      <c r="S691" s="39" t="str">
        <f>IF(R691=1,O691+ROW()*0.000000001,"")</f>
        <v/>
      </c>
      <c r="T691" s="39" t="str">
        <f>IF(O691&gt;0,INDEX(Calc!$B$4:$B$11,MATCH(MAX(G691:N691),G691:N691,0)),"-")</f>
        <v>Cane Trash</v>
      </c>
    </row>
    <row r="692" spans="1:20">
      <c r="A692" s="39">
        <v>689</v>
      </c>
      <c r="B692" s="39" t="s">
        <v>722</v>
      </c>
      <c r="C692" s="39" t="s">
        <v>776</v>
      </c>
      <c r="D692" s="39" t="str">
        <f>B692&amp;"|"&amp;C692</f>
        <v>Uttar Pradesh|Meerut</v>
      </c>
      <c r="E692" s="40">
        <v>28.98</v>
      </c>
      <c r="F692" s="40">
        <v>77.709999999999994</v>
      </c>
      <c r="G692" s="41">
        <v>5.46</v>
      </c>
      <c r="H692" s="41">
        <v>32.4</v>
      </c>
      <c r="I692" s="41">
        <v>0.89039999999999997</v>
      </c>
      <c r="J692" s="41">
        <v>2.7568999999999999</v>
      </c>
      <c r="K692" s="41">
        <v>2561.7600000000002</v>
      </c>
      <c r="L692" s="41">
        <v>298.87200000000001</v>
      </c>
      <c r="M692" s="41">
        <v>0</v>
      </c>
      <c r="N692" s="41">
        <v>0</v>
      </c>
      <c r="O692" s="42">
        <f>SUM(G692:N692)</f>
        <v>2902.1393000000003</v>
      </c>
      <c r="P692" s="42">
        <f>SUMPRODUCT(G692:N692,$G$2:$N$2)*1000/Assumptions!$C$15</f>
        <v>851.44435971495614</v>
      </c>
      <c r="Q692" s="43">
        <f>IF(ISNUMBER(Finder!$G$5),Finder!$D$8*Assumptions!$C$16*2*ASIN(SQRT(SIN(RADIANS(E692-Finder!$G$5)/2)^2+COS(RADIANS(Finder!$G$5))*COS(RADIANS(E692))*SIN(RADIANS(F692-Finder!$G$6)/2)^2)),"")</f>
        <v>194.33132225384279</v>
      </c>
      <c r="R692" s="39">
        <f>IF(ISNUMBER(Q692),IF(Q692&lt;=Finder!$D$7,1,0),0)</f>
        <v>0</v>
      </c>
      <c r="S692" s="39" t="str">
        <f>IF(R692=1,O692+ROW()*0.000000001,"")</f>
        <v/>
      </c>
      <c r="T692" s="39" t="str">
        <f>IF(O692&gt;0,INDEX(Calc!$B$4:$B$11,MATCH(MAX(G692:N692),G692:N692,0)),"-")</f>
        <v>Cane Trash</v>
      </c>
    </row>
    <row r="693" spans="1:20">
      <c r="A693" s="39">
        <v>690</v>
      </c>
      <c r="B693" s="39" t="s">
        <v>722</v>
      </c>
      <c r="C693" s="39" t="s">
        <v>777</v>
      </c>
      <c r="D693" s="39" t="str">
        <f>B693&amp;"|"&amp;C693</f>
        <v>Uttar Pradesh|Mirzapur</v>
      </c>
      <c r="E693" s="40">
        <v>25.15</v>
      </c>
      <c r="F693" s="40">
        <v>82.57</v>
      </c>
      <c r="G693" s="41">
        <v>47.88</v>
      </c>
      <c r="H693" s="41">
        <v>54.9</v>
      </c>
      <c r="I693" s="41">
        <v>9.6180000000000003</v>
      </c>
      <c r="J693" s="41">
        <v>2.5737000000000001</v>
      </c>
      <c r="K693" s="41">
        <v>0</v>
      </c>
      <c r="L693" s="41">
        <v>0</v>
      </c>
      <c r="M693" s="41">
        <v>0</v>
      </c>
      <c r="N693" s="41">
        <v>0</v>
      </c>
      <c r="O693" s="42">
        <f>SUM(G693:N693)</f>
        <v>114.9717</v>
      </c>
      <c r="P693" s="42">
        <f>SUMPRODUCT(G693:N693,$G$2:$N$2)*1000/Assumptions!$C$15</f>
        <v>41.26102251378299</v>
      </c>
      <c r="Q693" s="43">
        <f>IF(ISNUMBER(Finder!$G$5),Finder!$D$8*Assumptions!$C$16*2*ASIN(SQRT(SIN(RADIANS(E693-Finder!$G$5)/2)^2+COS(RADIANS(Finder!$G$5))*COS(RADIANS(E693))*SIN(RADIANS(F693-Finder!$G$6)/2)^2)),"")</f>
        <v>810.3938125742394</v>
      </c>
      <c r="R693" s="39">
        <f>IF(ISNUMBER(Q693),IF(Q693&lt;=Finder!$D$7,1,0),0)</f>
        <v>0</v>
      </c>
      <c r="S693" s="39" t="str">
        <f>IF(R693=1,O693+ROW()*0.000000001,"")</f>
        <v/>
      </c>
      <c r="T693" s="39" t="str">
        <f>IF(O693&gt;0,INDEX(Calc!$B$4:$B$11,MATCH(MAX(G693:N693),G693:N693,0)),"-")</f>
        <v>Wheat Straw</v>
      </c>
    </row>
    <row r="694" spans="1:20">
      <c r="A694" s="39">
        <v>691</v>
      </c>
      <c r="B694" s="39" t="s">
        <v>722</v>
      </c>
      <c r="C694" s="39" t="s">
        <v>778</v>
      </c>
      <c r="D694" s="39" t="str">
        <f>B694&amp;"|"&amp;C694</f>
        <v>Uttar Pradesh|Moradabad</v>
      </c>
      <c r="E694" s="40">
        <v>28.84</v>
      </c>
      <c r="F694" s="40">
        <v>78.77</v>
      </c>
      <c r="G694" s="41">
        <v>38.22</v>
      </c>
      <c r="H694" s="41">
        <v>51.3</v>
      </c>
      <c r="I694" s="41">
        <v>0.16059999999999999</v>
      </c>
      <c r="J694" s="41">
        <v>8.8512000000000004</v>
      </c>
      <c r="K694" s="41">
        <v>1171.98</v>
      </c>
      <c r="L694" s="41">
        <v>136.73099999999999</v>
      </c>
      <c r="M694" s="41">
        <v>0</v>
      </c>
      <c r="N694" s="41">
        <v>0</v>
      </c>
      <c r="O694" s="42">
        <f>SUM(G694:N694)</f>
        <v>1407.2428</v>
      </c>
      <c r="P694" s="42">
        <f>SUMPRODUCT(G694:N694,$G$2:$N$2)*1000/Assumptions!$C$15</f>
        <v>418.15265900821106</v>
      </c>
      <c r="Q694" s="43">
        <f>IF(ISNUMBER(Finder!$G$5),Finder!$D$8*Assumptions!$C$16*2*ASIN(SQRT(SIN(RADIANS(E694-Finder!$G$5)/2)^2+COS(RADIANS(Finder!$G$5))*COS(RADIANS(E694))*SIN(RADIANS(F694-Finder!$G$6)/2)^2)),"")</f>
        <v>298.62405392746848</v>
      </c>
      <c r="R694" s="39">
        <f>IF(ISNUMBER(Q694),IF(Q694&lt;=Finder!$D$7,1,0),0)</f>
        <v>0</v>
      </c>
      <c r="S694" s="39" t="str">
        <f>IF(R694=1,O694+ROW()*0.000000001,"")</f>
        <v/>
      </c>
      <c r="T694" s="39" t="str">
        <f>IF(O694&gt;0,INDEX(Calc!$B$4:$B$11,MATCH(MAX(G694:N694),G694:N694,0)),"-")</f>
        <v>Cane Trash</v>
      </c>
    </row>
    <row r="695" spans="1:20">
      <c r="A695" s="39">
        <v>692</v>
      </c>
      <c r="B695" s="39" t="s">
        <v>722</v>
      </c>
      <c r="C695" s="39" t="s">
        <v>779</v>
      </c>
      <c r="D695" s="39" t="str">
        <f>B695&amp;"|"&amp;C695</f>
        <v>Uttar Pradesh|Muzaffarnagar</v>
      </c>
      <c r="E695" s="40">
        <v>29.47</v>
      </c>
      <c r="F695" s="40">
        <v>77.7</v>
      </c>
      <c r="G695" s="41">
        <v>2.52</v>
      </c>
      <c r="H695" s="41">
        <v>31.95</v>
      </c>
      <c r="I695" s="41">
        <v>8.6099999999999996E-2</v>
      </c>
      <c r="J695" s="41">
        <v>2.8016000000000001</v>
      </c>
      <c r="K695" s="41">
        <v>2924.64</v>
      </c>
      <c r="L695" s="41">
        <v>341.20800000000003</v>
      </c>
      <c r="M695" s="41">
        <v>0</v>
      </c>
      <c r="N695" s="41">
        <v>0</v>
      </c>
      <c r="O695" s="42">
        <f>SUM(G695:N695)</f>
        <v>3303.2057</v>
      </c>
      <c r="P695" s="42">
        <f>SUMPRODUCT(G695:N695,$G$2:$N$2)*1000/Assumptions!$C$15</f>
        <v>968.46979175131958</v>
      </c>
      <c r="Q695" s="43">
        <f>IF(ISNUMBER(Finder!$G$5),Finder!$D$8*Assumptions!$C$16*2*ASIN(SQRT(SIN(RADIANS(E695-Finder!$G$5)/2)^2+COS(RADIANS(Finder!$G$5))*COS(RADIANS(E695))*SIN(RADIANS(F695-Finder!$G$6)/2)^2)),"")</f>
        <v>195.24805835353371</v>
      </c>
      <c r="R695" s="39">
        <f>IF(ISNUMBER(Q695),IF(Q695&lt;=Finder!$D$7,1,0),0)</f>
        <v>0</v>
      </c>
      <c r="S695" s="39" t="str">
        <f>IF(R695=1,O695+ROW()*0.000000001,"")</f>
        <v/>
      </c>
      <c r="T695" s="39" t="str">
        <f>IF(O695&gt;0,INDEX(Calc!$B$4:$B$11,MATCH(MAX(G695:N695),G695:N695,0)),"-")</f>
        <v>Cane Trash</v>
      </c>
    </row>
    <row r="696" spans="1:20">
      <c r="A696" s="39">
        <v>693</v>
      </c>
      <c r="B696" s="39" t="s">
        <v>722</v>
      </c>
      <c r="C696" s="39" t="s">
        <v>780</v>
      </c>
      <c r="D696" s="39" t="str">
        <f>B696&amp;"|"&amp;C696</f>
        <v>Uttar Pradesh|Pilibhit</v>
      </c>
      <c r="E696" s="40">
        <v>28.63</v>
      </c>
      <c r="F696" s="40">
        <v>79.8</v>
      </c>
      <c r="G696" s="41">
        <v>45.78</v>
      </c>
      <c r="H696" s="41">
        <v>63</v>
      </c>
      <c r="I696" s="41">
        <v>0.92920000000000003</v>
      </c>
      <c r="J696" s="41">
        <v>11.9529</v>
      </c>
      <c r="K696" s="41">
        <v>1628.82</v>
      </c>
      <c r="L696" s="41">
        <v>190.029</v>
      </c>
      <c r="M696" s="41">
        <v>0.1426</v>
      </c>
      <c r="N696" s="41">
        <v>0</v>
      </c>
      <c r="O696" s="42">
        <f>SUM(G696:N696)</f>
        <v>1940.6536999999998</v>
      </c>
      <c r="P696" s="42">
        <f>SUMPRODUCT(G696:N696,$G$2:$N$2)*1000/Assumptions!$C$15</f>
        <v>575.56844653665678</v>
      </c>
      <c r="Q696" s="43">
        <f>IF(ISNUMBER(Finder!$G$5),Finder!$D$8*Assumptions!$C$16*2*ASIN(SQRT(SIN(RADIANS(E696-Finder!$G$5)/2)^2+COS(RADIANS(Finder!$G$5))*COS(RADIANS(E696))*SIN(RADIANS(F696-Finder!$G$6)/2)^2)),"")</f>
        <v>401.37929851815426</v>
      </c>
      <c r="R696" s="39">
        <f>IF(ISNUMBER(Q696),IF(Q696&lt;=Finder!$D$7,1,0),0)</f>
        <v>0</v>
      </c>
      <c r="S696" s="39" t="str">
        <f>IF(R696=1,O696+ROW()*0.000000001,"")</f>
        <v/>
      </c>
      <c r="T696" s="39" t="str">
        <f>IF(O696&gt;0,INDEX(Calc!$B$4:$B$11,MATCH(MAX(G696:N696),G696:N696,0)),"-")</f>
        <v>Cane Trash</v>
      </c>
    </row>
    <row r="697" spans="1:20">
      <c r="A697" s="39">
        <v>694</v>
      </c>
      <c r="B697" s="39" t="s">
        <v>722</v>
      </c>
      <c r="C697" s="39" t="s">
        <v>622</v>
      </c>
      <c r="D697" s="39" t="str">
        <f>B697&amp;"|"&amp;C697</f>
        <v>Uttar Pradesh|Pratapgarh</v>
      </c>
      <c r="E697" s="40">
        <v>25.9</v>
      </c>
      <c r="F697" s="40">
        <v>81.94</v>
      </c>
      <c r="G697" s="41">
        <v>61.74</v>
      </c>
      <c r="H697" s="41">
        <v>67.05</v>
      </c>
      <c r="I697" s="41">
        <v>2.8475999999999999</v>
      </c>
      <c r="J697" s="41">
        <v>7.9501999999999997</v>
      </c>
      <c r="K697" s="41">
        <v>0</v>
      </c>
      <c r="L697" s="41">
        <v>0</v>
      </c>
      <c r="M697" s="41">
        <v>0</v>
      </c>
      <c r="N697" s="41">
        <v>0</v>
      </c>
      <c r="O697" s="42">
        <f>SUM(G697:N697)</f>
        <v>139.58779999999999</v>
      </c>
      <c r="P697" s="42">
        <f>SUMPRODUCT(G697:N697,$G$2:$N$2)*1000/Assumptions!$C$15</f>
        <v>50.385038577126096</v>
      </c>
      <c r="Q697" s="43">
        <f>IF(ISNUMBER(Finder!$G$5),Finder!$D$8*Assumptions!$C$16*2*ASIN(SQRT(SIN(RADIANS(E697-Finder!$G$5)/2)^2+COS(RADIANS(Finder!$G$5))*COS(RADIANS(E697))*SIN(RADIANS(F697-Finder!$G$6)/2)^2)),"")</f>
        <v>711.70875578736366</v>
      </c>
      <c r="R697" s="39">
        <f>IF(ISNUMBER(Q697),IF(Q697&lt;=Finder!$D$7,1,0),0)</f>
        <v>0</v>
      </c>
      <c r="S697" s="39" t="str">
        <f>IF(R697=1,O697+ROW()*0.000000001,"")</f>
        <v/>
      </c>
      <c r="T697" s="39" t="str">
        <f>IF(O697&gt;0,INDEX(Calc!$B$4:$B$11,MATCH(MAX(G697:N697),G697:N697,0)),"-")</f>
        <v>Wheat Straw</v>
      </c>
    </row>
    <row r="698" spans="1:20">
      <c r="A698" s="39">
        <v>695</v>
      </c>
      <c r="B698" s="39" t="s">
        <v>722</v>
      </c>
      <c r="C698" s="39" t="s">
        <v>781</v>
      </c>
      <c r="D698" s="39" t="str">
        <f>B698&amp;"|"&amp;C698</f>
        <v>Uttar Pradesh|Prayagraj</v>
      </c>
      <c r="E698" s="40">
        <v>25.44</v>
      </c>
      <c r="F698" s="40">
        <v>81.849999999999994</v>
      </c>
      <c r="G698" s="41">
        <v>81.900000000000006</v>
      </c>
      <c r="H698" s="41">
        <v>101.7</v>
      </c>
      <c r="I698" s="41">
        <v>0.64890000000000003</v>
      </c>
      <c r="J698" s="41">
        <v>6.4907000000000004</v>
      </c>
      <c r="K698" s="41">
        <v>0</v>
      </c>
      <c r="L698" s="41">
        <v>0</v>
      </c>
      <c r="M698" s="41">
        <v>0</v>
      </c>
      <c r="N698" s="41">
        <v>0</v>
      </c>
      <c r="O698" s="42">
        <f>SUM(G698:N698)</f>
        <v>190.73960000000002</v>
      </c>
      <c r="P698" s="42">
        <f>SUMPRODUCT(G698:N698,$G$2:$N$2)*1000/Assumptions!$C$15</f>
        <v>69.399701212903224</v>
      </c>
      <c r="Q698" s="43">
        <f>IF(ISNUMBER(Finder!$G$5),Finder!$D$8*Assumptions!$C$16*2*ASIN(SQRT(SIN(RADIANS(E698-Finder!$G$5)/2)^2+COS(RADIANS(Finder!$G$5))*COS(RADIANS(E698))*SIN(RADIANS(F698-Finder!$G$6)/2)^2)),"")</f>
        <v>732.65899119217534</v>
      </c>
      <c r="R698" s="39">
        <f>IF(ISNUMBER(Q698),IF(Q698&lt;=Finder!$D$7,1,0),0)</f>
        <v>0</v>
      </c>
      <c r="S698" s="39" t="str">
        <f>IF(R698=1,O698+ROW()*0.000000001,"")</f>
        <v/>
      </c>
      <c r="T698" s="39" t="str">
        <f>IF(O698&gt;0,INDEX(Calc!$B$4:$B$11,MATCH(MAX(G698:N698),G698:N698,0)),"-")</f>
        <v>Wheat Straw</v>
      </c>
    </row>
    <row r="699" spans="1:20">
      <c r="A699" s="39">
        <v>696</v>
      </c>
      <c r="B699" s="39" t="s">
        <v>722</v>
      </c>
      <c r="C699" s="39" t="s">
        <v>782</v>
      </c>
      <c r="D699" s="39" t="str">
        <f>B699&amp;"|"&amp;C699</f>
        <v>Uttar Pradesh|Rae Bareli</v>
      </c>
      <c r="E699" s="40">
        <v>26.23</v>
      </c>
      <c r="F699" s="40">
        <v>81.23</v>
      </c>
      <c r="G699" s="41">
        <v>74.760000000000005</v>
      </c>
      <c r="H699" s="41">
        <v>77.400000000000006</v>
      </c>
      <c r="I699" s="41">
        <v>5.1400000000000001E-2</v>
      </c>
      <c r="J699" s="41">
        <v>4.4615</v>
      </c>
      <c r="K699" s="41">
        <v>42.3</v>
      </c>
      <c r="L699" s="41">
        <v>4.9349999999999996</v>
      </c>
      <c r="M699" s="41">
        <v>0</v>
      </c>
      <c r="N699" s="41">
        <v>0</v>
      </c>
      <c r="O699" s="42">
        <f>SUM(G699:N699)</f>
        <v>203.90790000000004</v>
      </c>
      <c r="P699" s="42">
        <f>SUMPRODUCT(G699:N699,$G$2:$N$2)*1000/Assumptions!$C$15</f>
        <v>70.914762702052784</v>
      </c>
      <c r="Q699" s="43">
        <f>IF(ISNUMBER(Finder!$G$5),Finder!$D$8*Assumptions!$C$16*2*ASIN(SQRT(SIN(RADIANS(E699-Finder!$G$5)/2)^2+COS(RADIANS(Finder!$G$5))*COS(RADIANS(E699))*SIN(RADIANS(F699-Finder!$G$6)/2)^2)),"")</f>
        <v>632.12464184772818</v>
      </c>
      <c r="R699" s="39">
        <f>IF(ISNUMBER(Q699),IF(Q699&lt;=Finder!$D$7,1,0),0)</f>
        <v>0</v>
      </c>
      <c r="S699" s="39" t="str">
        <f>IF(R699=1,O699+ROW()*0.000000001,"")</f>
        <v/>
      </c>
      <c r="T699" s="39" t="str">
        <f>IF(O699&gt;0,INDEX(Calc!$B$4:$B$11,MATCH(MAX(G699:N699),G699:N699,0)),"-")</f>
        <v>Wheat Straw</v>
      </c>
    </row>
    <row r="700" spans="1:20">
      <c r="A700" s="39">
        <v>697</v>
      </c>
      <c r="B700" s="39" t="s">
        <v>722</v>
      </c>
      <c r="C700" s="39" t="s">
        <v>783</v>
      </c>
      <c r="D700" s="39" t="str">
        <f>B700&amp;"|"&amp;C700</f>
        <v>Uttar Pradesh|Rampur</v>
      </c>
      <c r="E700" s="40">
        <v>28.81</v>
      </c>
      <c r="F700" s="40">
        <v>79.03</v>
      </c>
      <c r="G700" s="41">
        <v>51.24</v>
      </c>
      <c r="H700" s="41">
        <v>62.1</v>
      </c>
      <c r="I700" s="41">
        <v>0.8841</v>
      </c>
      <c r="J700" s="41">
        <v>4.2881</v>
      </c>
      <c r="K700" s="41">
        <v>499.5</v>
      </c>
      <c r="L700" s="41">
        <v>58.274999999999999</v>
      </c>
      <c r="M700" s="41">
        <v>0</v>
      </c>
      <c r="N700" s="41">
        <v>0</v>
      </c>
      <c r="O700" s="42">
        <f>SUM(G700:N700)</f>
        <v>676.28719999999998</v>
      </c>
      <c r="P700" s="42">
        <f>SUMPRODUCT(G700:N700,$G$2:$N$2)*1000/Assumptions!$C$15</f>
        <v>206.16898105630497</v>
      </c>
      <c r="Q700" s="43">
        <f>IF(ISNUMBER(Finder!$G$5),Finder!$D$8*Assumptions!$C$16*2*ASIN(SQRT(SIN(RADIANS(E700-Finder!$G$5)/2)^2+COS(RADIANS(Finder!$G$5))*COS(RADIANS(E700))*SIN(RADIANS(F700-Finder!$G$6)/2)^2)),"")</f>
        <v>324.17129828946639</v>
      </c>
      <c r="R700" s="39">
        <f>IF(ISNUMBER(Q700),IF(Q700&lt;=Finder!$D$7,1,0),0)</f>
        <v>0</v>
      </c>
      <c r="S700" s="39" t="str">
        <f>IF(R700=1,O700+ROW()*0.000000001,"")</f>
        <v/>
      </c>
      <c r="T700" s="39" t="str">
        <f>IF(O700&gt;0,INDEX(Calc!$B$4:$B$11,MATCH(MAX(G700:N700),G700:N700,0)),"-")</f>
        <v>Cane Trash</v>
      </c>
    </row>
    <row r="701" spans="1:20">
      <c r="A701" s="39">
        <v>698</v>
      </c>
      <c r="B701" s="39" t="s">
        <v>722</v>
      </c>
      <c r="C701" s="39" t="s">
        <v>784</v>
      </c>
      <c r="D701" s="39" t="str">
        <f>B701&amp;"|"&amp;C701</f>
        <v>Uttar Pradesh|Saharanpur</v>
      </c>
      <c r="E701" s="40">
        <v>29.97</v>
      </c>
      <c r="F701" s="40">
        <v>77.55</v>
      </c>
      <c r="G701" s="41">
        <v>22.26</v>
      </c>
      <c r="H701" s="41">
        <v>51.3</v>
      </c>
      <c r="I701" s="41">
        <v>17.988600000000002</v>
      </c>
      <c r="J701" s="41">
        <v>1.1099000000000001</v>
      </c>
      <c r="K701" s="41">
        <v>1847.88</v>
      </c>
      <c r="L701" s="41">
        <v>215.58600000000001</v>
      </c>
      <c r="M701" s="41">
        <v>0</v>
      </c>
      <c r="N701" s="41">
        <v>0</v>
      </c>
      <c r="O701" s="42">
        <f>SUM(G701:N701)</f>
        <v>2156.1244999999999</v>
      </c>
      <c r="P701" s="42">
        <f>SUMPRODUCT(G701:N701,$G$2:$N$2)*1000/Assumptions!$C$15</f>
        <v>635.9719720938416</v>
      </c>
      <c r="Q701" s="43">
        <f>IF(ISNUMBER(Finder!$G$5),Finder!$D$8*Assumptions!$C$16*2*ASIN(SQRT(SIN(RADIANS(E701-Finder!$G$5)/2)^2+COS(RADIANS(Finder!$G$5))*COS(RADIANS(E701))*SIN(RADIANS(F701-Finder!$G$6)/2)^2)),"")</f>
        <v>199.10134415863806</v>
      </c>
      <c r="R701" s="39">
        <f>IF(ISNUMBER(Q701),IF(Q701&lt;=Finder!$D$7,1,0),0)</f>
        <v>0</v>
      </c>
      <c r="S701" s="39" t="str">
        <f>IF(R701=1,O701+ROW()*0.000000001,"")</f>
        <v/>
      </c>
      <c r="T701" s="39" t="str">
        <f>IF(O701&gt;0,INDEX(Calc!$B$4:$B$11,MATCH(MAX(G701:N701),G701:N701,0)),"-")</f>
        <v>Cane Trash</v>
      </c>
    </row>
    <row r="702" spans="1:20">
      <c r="A702" s="39">
        <v>699</v>
      </c>
      <c r="B702" s="39" t="s">
        <v>722</v>
      </c>
      <c r="C702" s="39" t="s">
        <v>785</v>
      </c>
      <c r="D702" s="39" t="str">
        <f>B702&amp;"|"&amp;C702</f>
        <v>Uttar Pradesh|Sambhal</v>
      </c>
      <c r="E702" s="40">
        <v>28.58</v>
      </c>
      <c r="F702" s="40">
        <v>78.569999999999993</v>
      </c>
      <c r="G702" s="41">
        <v>42.84</v>
      </c>
      <c r="H702" s="41">
        <v>59.85</v>
      </c>
      <c r="I702" s="41">
        <v>16.241399999999999</v>
      </c>
      <c r="J702" s="41">
        <v>10.6869</v>
      </c>
      <c r="K702" s="41">
        <v>774.54</v>
      </c>
      <c r="L702" s="41">
        <v>90.363</v>
      </c>
      <c r="M702" s="41">
        <v>0</v>
      </c>
      <c r="N702" s="41">
        <v>0</v>
      </c>
      <c r="O702" s="42">
        <f>SUM(G702:N702)</f>
        <v>994.52129999999988</v>
      </c>
      <c r="P702" s="42">
        <f>SUMPRODUCT(G702:N702,$G$2:$N$2)*1000/Assumptions!$C$15</f>
        <v>298.47446974134897</v>
      </c>
      <c r="Q702" s="43">
        <f>IF(ISNUMBER(Finder!$G$5),Finder!$D$8*Assumptions!$C$16*2*ASIN(SQRT(SIN(RADIANS(E702-Finder!$G$5)/2)^2+COS(RADIANS(Finder!$G$5))*COS(RADIANS(E702))*SIN(RADIANS(F702-Finder!$G$6)/2)^2)),"")</f>
        <v>284.66972218376253</v>
      </c>
      <c r="R702" s="39">
        <f>IF(ISNUMBER(Q702),IF(Q702&lt;=Finder!$D$7,1,0),0)</f>
        <v>0</v>
      </c>
      <c r="S702" s="39" t="str">
        <f>IF(R702=1,O702+ROW()*0.000000001,"")</f>
        <v/>
      </c>
      <c r="T702" s="39" t="str">
        <f>IF(O702&gt;0,INDEX(Calc!$B$4:$B$11,MATCH(MAX(G702:N702),G702:N702,0)),"-")</f>
        <v>Cane Trash</v>
      </c>
    </row>
    <row r="703" spans="1:20">
      <c r="A703" s="39">
        <v>700</v>
      </c>
      <c r="B703" s="39" t="s">
        <v>722</v>
      </c>
      <c r="C703" s="39" t="s">
        <v>786</v>
      </c>
      <c r="D703" s="39" t="str">
        <f>B703&amp;"|"&amp;C703</f>
        <v>Uttar Pradesh|Sant Kabir Nagar</v>
      </c>
      <c r="E703" s="40">
        <v>26.77</v>
      </c>
      <c r="F703" s="40">
        <v>83.07</v>
      </c>
      <c r="G703" s="41">
        <v>35.700000000000003</v>
      </c>
      <c r="H703" s="41">
        <v>45.45</v>
      </c>
      <c r="I703" s="41">
        <v>4.5495999999999999</v>
      </c>
      <c r="J703" s="41">
        <v>2.9247000000000001</v>
      </c>
      <c r="K703" s="41">
        <v>0</v>
      </c>
      <c r="L703" s="41">
        <v>0</v>
      </c>
      <c r="M703" s="41">
        <v>0</v>
      </c>
      <c r="N703" s="41">
        <v>0</v>
      </c>
      <c r="O703" s="42">
        <f>SUM(G703:N703)</f>
        <v>88.624300000000005</v>
      </c>
      <c r="P703" s="42">
        <f>SUMPRODUCT(G703:N703,$G$2:$N$2)*1000/Assumptions!$C$15</f>
        <v>31.944680729618771</v>
      </c>
      <c r="Q703" s="43">
        <f>IF(ISNUMBER(Finder!$G$5),Finder!$D$8*Assumptions!$C$16*2*ASIN(SQRT(SIN(RADIANS(E703-Finder!$G$5)/2)^2+COS(RADIANS(Finder!$G$5))*COS(RADIANS(E703))*SIN(RADIANS(F703-Finder!$G$6)/2)^2)),"")</f>
        <v>768.67383919149268</v>
      </c>
      <c r="R703" s="39">
        <f>IF(ISNUMBER(Q703),IF(Q703&lt;=Finder!$D$7,1,0),0)</f>
        <v>0</v>
      </c>
      <c r="S703" s="39" t="str">
        <f>IF(R703=1,O703+ROW()*0.000000001,"")</f>
        <v/>
      </c>
      <c r="T703" s="39" t="str">
        <f>IF(O703&gt;0,INDEX(Calc!$B$4:$B$11,MATCH(MAX(G703:N703),G703:N703,0)),"-")</f>
        <v>Wheat Straw</v>
      </c>
    </row>
    <row r="704" spans="1:20">
      <c r="A704" s="39">
        <v>701</v>
      </c>
      <c r="B704" s="39" t="s">
        <v>722</v>
      </c>
      <c r="C704" s="39" t="s">
        <v>787</v>
      </c>
      <c r="D704" s="39" t="str">
        <f>B704&amp;"|"&amp;C704</f>
        <v>Uttar Pradesh|Shahjahanpur</v>
      </c>
      <c r="E704" s="40">
        <v>27.88</v>
      </c>
      <c r="F704" s="40">
        <v>79.91</v>
      </c>
      <c r="G704" s="41">
        <v>67.62</v>
      </c>
      <c r="H704" s="41">
        <v>101.7</v>
      </c>
      <c r="I704" s="41">
        <v>6.0102000000000002</v>
      </c>
      <c r="J704" s="41">
        <v>12.853899999999999</v>
      </c>
      <c r="K704" s="41">
        <v>1447.92</v>
      </c>
      <c r="L704" s="41">
        <v>168.92400000000001</v>
      </c>
      <c r="M704" s="41">
        <v>0</v>
      </c>
      <c r="N704" s="41">
        <v>0</v>
      </c>
      <c r="O704" s="42">
        <f>SUM(G704:N704)</f>
        <v>1805.0281</v>
      </c>
      <c r="P704" s="42">
        <f>SUMPRODUCT(G704:N704,$G$2:$N$2)*1000/Assumptions!$C$15</f>
        <v>540.40497603401764</v>
      </c>
      <c r="Q704" s="43">
        <f>IF(ISNUMBER(Finder!$G$5),Finder!$D$8*Assumptions!$C$16*2*ASIN(SQRT(SIN(RADIANS(E704-Finder!$G$5)/2)^2+COS(RADIANS(Finder!$G$5))*COS(RADIANS(E704))*SIN(RADIANS(F704-Finder!$G$6)/2)^2)),"")</f>
        <v>433.02593259549798</v>
      </c>
      <c r="R704" s="39">
        <f>IF(ISNUMBER(Q704),IF(Q704&lt;=Finder!$D$7,1,0),0)</f>
        <v>0</v>
      </c>
      <c r="S704" s="39" t="str">
        <f>IF(R704=1,O704+ROW()*0.000000001,"")</f>
        <v/>
      </c>
      <c r="T704" s="39" t="str">
        <f>IF(O704&gt;0,INDEX(Calc!$B$4:$B$11,MATCH(MAX(G704:N704),G704:N704,0)),"-")</f>
        <v>Cane Trash</v>
      </c>
    </row>
    <row r="705" spans="1:20">
      <c r="A705" s="39">
        <v>702</v>
      </c>
      <c r="B705" s="39" t="s">
        <v>722</v>
      </c>
      <c r="C705" s="39" t="s">
        <v>788</v>
      </c>
      <c r="D705" s="39" t="str">
        <f>B705&amp;"|"&amp;C705</f>
        <v>Uttar Pradesh|Shamli</v>
      </c>
      <c r="E705" s="40">
        <v>29.45</v>
      </c>
      <c r="F705" s="40">
        <v>77.31</v>
      </c>
      <c r="G705" s="41">
        <v>9.66</v>
      </c>
      <c r="H705" s="41">
        <v>23.85</v>
      </c>
      <c r="I705" s="41">
        <v>0.3286</v>
      </c>
      <c r="J705" s="41">
        <v>2.4384000000000001</v>
      </c>
      <c r="K705" s="41">
        <v>1475.1</v>
      </c>
      <c r="L705" s="41">
        <v>172.095</v>
      </c>
      <c r="M705" s="41">
        <v>0</v>
      </c>
      <c r="N705" s="41">
        <v>0</v>
      </c>
      <c r="O705" s="42">
        <f>SUM(G705:N705)</f>
        <v>1683.472</v>
      </c>
      <c r="P705" s="42">
        <f>SUMPRODUCT(G705:N705,$G$2:$N$2)*1000/Assumptions!$C$15</f>
        <v>494.7628771466276</v>
      </c>
      <c r="Q705" s="43">
        <f>IF(ISNUMBER(Finder!$G$5),Finder!$D$8*Assumptions!$C$16*2*ASIN(SQRT(SIN(RADIANS(E705-Finder!$G$5)/2)^2+COS(RADIANS(Finder!$G$5))*COS(RADIANS(E705))*SIN(RADIANS(F705-Finder!$G$6)/2)^2)),"")</f>
        <v>157.74771371835428</v>
      </c>
      <c r="R705" s="39">
        <f>IF(ISNUMBER(Q705),IF(Q705&lt;=Finder!$D$7,1,0),0)</f>
        <v>0</v>
      </c>
      <c r="S705" s="39" t="str">
        <f>IF(R705=1,O705+ROW()*0.000000001,"")</f>
        <v/>
      </c>
      <c r="T705" s="39" t="str">
        <f>IF(O705&gt;0,INDEX(Calc!$B$4:$B$11,MATCH(MAX(G705:N705),G705:N705,0)),"-")</f>
        <v>Cane Trash</v>
      </c>
    </row>
    <row r="706" spans="1:20">
      <c r="A706" s="39">
        <v>703</v>
      </c>
      <c r="B706" s="39" t="s">
        <v>722</v>
      </c>
      <c r="C706" s="39" t="s">
        <v>789</v>
      </c>
      <c r="D706" s="39" t="str">
        <f>B706&amp;"|"&amp;C706</f>
        <v>Uttar Pradesh|Shrawasti</v>
      </c>
      <c r="E706" s="40">
        <v>27.7</v>
      </c>
      <c r="F706" s="40">
        <v>81.93</v>
      </c>
      <c r="G706" s="41">
        <v>42.42</v>
      </c>
      <c r="H706" s="41">
        <v>41.4</v>
      </c>
      <c r="I706" s="41">
        <v>22.476299999999998</v>
      </c>
      <c r="J706" s="41">
        <v>1.7009000000000001</v>
      </c>
      <c r="K706" s="41">
        <v>0</v>
      </c>
      <c r="L706" s="41">
        <v>0</v>
      </c>
      <c r="M706" s="41">
        <v>0</v>
      </c>
      <c r="N706" s="41">
        <v>0</v>
      </c>
      <c r="O706" s="42">
        <f>SUM(G706:N706)</f>
        <v>107.99719999999999</v>
      </c>
      <c r="P706" s="42">
        <f>SUMPRODUCT(G706:N706,$G$2:$N$2)*1000/Assumptions!$C$15</f>
        <v>37.837070073900293</v>
      </c>
      <c r="Q706" s="43">
        <f>IF(ISNUMBER(Finder!$G$5),Finder!$D$8*Assumptions!$C$16*2*ASIN(SQRT(SIN(RADIANS(E706-Finder!$G$5)/2)^2+COS(RADIANS(Finder!$G$5))*COS(RADIANS(E706))*SIN(RADIANS(F706-Finder!$G$6)/2)^2)),"")</f>
        <v>628.2168396635758</v>
      </c>
      <c r="R706" s="39">
        <f>IF(ISNUMBER(Q706),IF(Q706&lt;=Finder!$D$7,1,0),0)</f>
        <v>0</v>
      </c>
      <c r="S706" s="39" t="str">
        <f>IF(R706=1,O706+ROW()*0.000000001,"")</f>
        <v/>
      </c>
      <c r="T706" s="39" t="str">
        <f>IF(O706&gt;0,INDEX(Calc!$B$4:$B$11,MATCH(MAX(G706:N706),G706:N706,0)),"-")</f>
        <v>Paddy Straw</v>
      </c>
    </row>
    <row r="707" spans="1:20">
      <c r="A707" s="39">
        <v>704</v>
      </c>
      <c r="B707" s="39" t="s">
        <v>722</v>
      </c>
      <c r="C707" s="39" t="s">
        <v>790</v>
      </c>
      <c r="D707" s="39" t="str">
        <f>B707&amp;"|"&amp;C707</f>
        <v>Uttar Pradesh|Siddharthnagar</v>
      </c>
      <c r="E707" s="40">
        <v>27.3</v>
      </c>
      <c r="F707" s="40">
        <v>83.08</v>
      </c>
      <c r="G707" s="41">
        <v>57.54</v>
      </c>
      <c r="H707" s="41">
        <v>81.45</v>
      </c>
      <c r="I707" s="41">
        <v>1.3271999999999999</v>
      </c>
      <c r="J707" s="41">
        <v>3.0827</v>
      </c>
      <c r="K707" s="41">
        <v>6.12</v>
      </c>
      <c r="L707" s="41">
        <v>0.71399999999999997</v>
      </c>
      <c r="M707" s="41">
        <v>0</v>
      </c>
      <c r="N707" s="41">
        <v>0</v>
      </c>
      <c r="O707" s="42">
        <f>SUM(G707:N707)</f>
        <v>150.23390000000001</v>
      </c>
      <c r="P707" s="42">
        <f>SUMPRODUCT(G707:N707,$G$2:$N$2)*1000/Assumptions!$C$15</f>
        <v>54.243056658064518</v>
      </c>
      <c r="Q707" s="43">
        <f>IF(ISNUMBER(Finder!$G$5),Finder!$D$8*Assumptions!$C$16*2*ASIN(SQRT(SIN(RADIANS(E707-Finder!$G$5)/2)^2+COS(RADIANS(Finder!$G$5))*COS(RADIANS(E707))*SIN(RADIANS(F707-Finder!$G$6)/2)^2)),"")</f>
        <v>749.69087302914488</v>
      </c>
      <c r="R707" s="39">
        <f>IF(ISNUMBER(Q707),IF(Q707&lt;=Finder!$D$7,1,0),0)</f>
        <v>0</v>
      </c>
      <c r="S707" s="39" t="str">
        <f>IF(R707=1,O707+ROW()*0.000000001,"")</f>
        <v/>
      </c>
      <c r="T707" s="39" t="str">
        <f>IF(O707&gt;0,INDEX(Calc!$B$4:$B$11,MATCH(MAX(G707:N707),G707:N707,0)),"-")</f>
        <v>Wheat Straw</v>
      </c>
    </row>
    <row r="708" spans="1:20">
      <c r="A708" s="39">
        <v>705</v>
      </c>
      <c r="B708" s="39" t="s">
        <v>722</v>
      </c>
      <c r="C708" s="39" t="s">
        <v>791</v>
      </c>
      <c r="D708" s="39" t="str">
        <f>B708&amp;"|"&amp;C708</f>
        <v>Uttar Pradesh|Sitapur</v>
      </c>
      <c r="E708" s="40">
        <v>27.57</v>
      </c>
      <c r="F708" s="40">
        <v>80.680000000000007</v>
      </c>
      <c r="G708" s="41">
        <v>86.1</v>
      </c>
      <c r="H708" s="41">
        <v>90.45</v>
      </c>
      <c r="I708" s="41">
        <v>16.2456</v>
      </c>
      <c r="J708" s="41">
        <v>22.929500000000001</v>
      </c>
      <c r="K708" s="41">
        <v>3142.08</v>
      </c>
      <c r="L708" s="41">
        <v>366.57600000000002</v>
      </c>
      <c r="M708" s="41">
        <v>0</v>
      </c>
      <c r="N708" s="41">
        <v>0</v>
      </c>
      <c r="O708" s="42">
        <f>SUM(G708:N708)</f>
        <v>3724.3811000000001</v>
      </c>
      <c r="P708" s="42">
        <f>SUMPRODUCT(G708:N708,$G$2:$N$2)*1000/Assumptions!$C$15</f>
        <v>1102.2257792070382</v>
      </c>
      <c r="Q708" s="43">
        <f>IF(ISNUMBER(Finder!$G$5),Finder!$D$8*Assumptions!$C$16*2*ASIN(SQRT(SIN(RADIANS(E708-Finder!$G$5)/2)^2+COS(RADIANS(Finder!$G$5))*COS(RADIANS(E708))*SIN(RADIANS(F708-Finder!$G$6)/2)^2)),"")</f>
        <v>516.09399883572814</v>
      </c>
      <c r="R708" s="39">
        <f>IF(ISNUMBER(Q708),IF(Q708&lt;=Finder!$D$7,1,0),0)</f>
        <v>0</v>
      </c>
      <c r="S708" s="39" t="str">
        <f>IF(R708=1,O708+ROW()*0.000000001,"")</f>
        <v/>
      </c>
      <c r="T708" s="39" t="str">
        <f>IF(O708&gt;0,INDEX(Calc!$B$4:$B$11,MATCH(MAX(G708:N708),G708:N708,0)),"-")</f>
        <v>Cane Trash</v>
      </c>
    </row>
    <row r="709" spans="1:20">
      <c r="A709" s="39">
        <v>706</v>
      </c>
      <c r="B709" s="39" t="s">
        <v>722</v>
      </c>
      <c r="C709" s="39" t="s">
        <v>792</v>
      </c>
      <c r="D709" s="39" t="str">
        <f>B709&amp;"|"&amp;C709</f>
        <v>Uttar Pradesh|Sonbhadra</v>
      </c>
      <c r="E709" s="40">
        <v>24.69</v>
      </c>
      <c r="F709" s="40">
        <v>83.07</v>
      </c>
      <c r="G709" s="41">
        <v>49.56</v>
      </c>
      <c r="H709" s="41">
        <v>30.15</v>
      </c>
      <c r="I709" s="41">
        <v>21.373799999999999</v>
      </c>
      <c r="J709" s="41">
        <v>4.3653000000000004</v>
      </c>
      <c r="K709" s="41">
        <v>0</v>
      </c>
      <c r="L709" s="41">
        <v>0</v>
      </c>
      <c r="M709" s="41">
        <v>0</v>
      </c>
      <c r="N709" s="41">
        <v>0</v>
      </c>
      <c r="O709" s="42">
        <f>SUM(G709:N709)</f>
        <v>105.44910000000002</v>
      </c>
      <c r="P709" s="42">
        <f>SUMPRODUCT(G709:N709,$G$2:$N$2)*1000/Assumptions!$C$15</f>
        <v>36.790014679178881</v>
      </c>
      <c r="Q709" s="43">
        <f>IF(ISNUMBER(Finder!$G$5),Finder!$D$8*Assumptions!$C$16*2*ASIN(SQRT(SIN(RADIANS(E709-Finder!$G$5)/2)^2+COS(RADIANS(Finder!$G$5))*COS(RADIANS(E709))*SIN(RADIANS(F709-Finder!$G$6)/2)^2)),"")</f>
        <v>881.11055470586325</v>
      </c>
      <c r="R709" s="39">
        <f>IF(ISNUMBER(Q709),IF(Q709&lt;=Finder!$D$7,1,0),0)</f>
        <v>0</v>
      </c>
      <c r="S709" s="39" t="str">
        <f>IF(R709=1,O709+ROW()*0.000000001,"")</f>
        <v/>
      </c>
      <c r="T709" s="39" t="str">
        <f>IF(O709&gt;0,INDEX(Calc!$B$4:$B$11,MATCH(MAX(G709:N709),G709:N709,0)),"-")</f>
        <v>Paddy Straw</v>
      </c>
    </row>
    <row r="710" spans="1:20">
      <c r="A710" s="39">
        <v>707</v>
      </c>
      <c r="B710" s="39" t="s">
        <v>722</v>
      </c>
      <c r="C710" s="39" t="s">
        <v>793</v>
      </c>
      <c r="D710" s="39" t="str">
        <f>B710&amp;"|"&amp;C710</f>
        <v>Uttar Pradesh|Sultanpur</v>
      </c>
      <c r="E710" s="40">
        <v>26.26</v>
      </c>
      <c r="F710" s="40">
        <v>82.07</v>
      </c>
      <c r="G710" s="41">
        <v>58.8</v>
      </c>
      <c r="H710" s="41">
        <v>52.65</v>
      </c>
      <c r="I710" s="41">
        <v>9.1044999999999998</v>
      </c>
      <c r="J710" s="41">
        <v>2.0941000000000001</v>
      </c>
      <c r="K710" s="41">
        <v>108.54</v>
      </c>
      <c r="L710" s="41">
        <v>12.663</v>
      </c>
      <c r="M710" s="41">
        <v>0</v>
      </c>
      <c r="N710" s="41">
        <v>0</v>
      </c>
      <c r="O710" s="42">
        <f>SUM(G710:N710)</f>
        <v>243.85160000000002</v>
      </c>
      <c r="P710" s="42">
        <f>SUMPRODUCT(G710:N710,$G$2:$N$2)*1000/Assumptions!$C$15</f>
        <v>79.58855336246333</v>
      </c>
      <c r="Q710" s="43">
        <f>IF(ISNUMBER(Finder!$G$5),Finder!$D$8*Assumptions!$C$16*2*ASIN(SQRT(SIN(RADIANS(E710-Finder!$G$5)/2)^2+COS(RADIANS(Finder!$G$5))*COS(RADIANS(E710))*SIN(RADIANS(F710-Finder!$G$6)/2)^2)),"")</f>
        <v>702.72770031019979</v>
      </c>
      <c r="R710" s="39">
        <f>IF(ISNUMBER(Q710),IF(Q710&lt;=Finder!$D$7,1,0),0)</f>
        <v>0</v>
      </c>
      <c r="S710" s="39" t="str">
        <f>IF(R710=1,O710+ROW()*0.000000001,"")</f>
        <v/>
      </c>
      <c r="T710" s="39" t="str">
        <f>IF(O710&gt;0,INDEX(Calc!$B$4:$B$11,MATCH(MAX(G710:N710),G710:N710,0)),"-")</f>
        <v>Cane Trash</v>
      </c>
    </row>
    <row r="711" spans="1:20">
      <c r="A711" s="39">
        <v>708</v>
      </c>
      <c r="B711" s="39" t="s">
        <v>722</v>
      </c>
      <c r="C711" s="39" t="s">
        <v>794</v>
      </c>
      <c r="D711" s="39" t="str">
        <f>B711&amp;"|"&amp;C711</f>
        <v>Uttar Pradesh|Unnao</v>
      </c>
      <c r="E711" s="40">
        <v>26.55</v>
      </c>
      <c r="F711" s="40">
        <v>80.489999999999995</v>
      </c>
      <c r="G711" s="41">
        <v>57.54</v>
      </c>
      <c r="H711" s="41">
        <v>100.35</v>
      </c>
      <c r="I711" s="41">
        <v>76.662599999999998</v>
      </c>
      <c r="J711" s="41">
        <v>21.049199999999999</v>
      </c>
      <c r="K711" s="41">
        <v>0</v>
      </c>
      <c r="L711" s="41">
        <v>0</v>
      </c>
      <c r="M711" s="41">
        <v>0</v>
      </c>
      <c r="N711" s="41">
        <v>0</v>
      </c>
      <c r="O711" s="42">
        <f>SUM(G711:N711)</f>
        <v>255.60179999999997</v>
      </c>
      <c r="P711" s="42">
        <f>SUMPRODUCT(G711:N711,$G$2:$N$2)*1000/Assumptions!$C$15</f>
        <v>86.620285861583568</v>
      </c>
      <c r="Q711" s="43">
        <f>IF(ISNUMBER(Finder!$G$5),Finder!$D$8*Assumptions!$C$16*2*ASIN(SQRT(SIN(RADIANS(E711-Finder!$G$5)/2)^2+COS(RADIANS(Finder!$G$5))*COS(RADIANS(E711))*SIN(RADIANS(F711-Finder!$G$6)/2)^2)),"")</f>
        <v>550.83056381387689</v>
      </c>
      <c r="R711" s="39">
        <f>IF(ISNUMBER(Q711),IF(Q711&lt;=Finder!$D$7,1,0),0)</f>
        <v>0</v>
      </c>
      <c r="S711" s="39" t="str">
        <f>IF(R711=1,O711+ROW()*0.000000001,"")</f>
        <v/>
      </c>
      <c r="T711" s="39" t="str">
        <f>IF(O711&gt;0,INDEX(Calc!$B$4:$B$11,MATCH(MAX(G711:N711),G711:N711,0)),"-")</f>
        <v>Wheat Straw</v>
      </c>
    </row>
    <row r="712" spans="1:20">
      <c r="A712" s="39">
        <v>709</v>
      </c>
      <c r="B712" s="39" t="s">
        <v>722</v>
      </c>
      <c r="C712" s="39" t="s">
        <v>795</v>
      </c>
      <c r="D712" s="39" t="str">
        <f>B712&amp;"|"&amp;C712</f>
        <v>Uttar Pradesh|Varanasi</v>
      </c>
      <c r="E712" s="40">
        <v>25.32</v>
      </c>
      <c r="F712" s="40">
        <v>82.99</v>
      </c>
      <c r="G712" s="41">
        <v>32.340000000000003</v>
      </c>
      <c r="H712" s="41">
        <v>28.35</v>
      </c>
      <c r="I712" s="41">
        <v>10.4086</v>
      </c>
      <c r="J712" s="41">
        <v>1.1307</v>
      </c>
      <c r="K712" s="41">
        <v>29.7</v>
      </c>
      <c r="L712" s="41">
        <v>3.4649999999999999</v>
      </c>
      <c r="M712" s="41">
        <v>0</v>
      </c>
      <c r="N712" s="41">
        <v>0</v>
      </c>
      <c r="O712" s="42">
        <f>SUM(G712:N712)</f>
        <v>105.39430000000002</v>
      </c>
      <c r="P712" s="42">
        <f>SUMPRODUCT(G712:N712,$G$2:$N$2)*1000/Assumptions!$C$15</f>
        <v>35.338795788269792</v>
      </c>
      <c r="Q712" s="43">
        <f>IF(ISNUMBER(Finder!$G$5),Finder!$D$8*Assumptions!$C$16*2*ASIN(SQRT(SIN(RADIANS(E712-Finder!$G$5)/2)^2+COS(RADIANS(Finder!$G$5))*COS(RADIANS(E712))*SIN(RADIANS(F712-Finder!$G$6)/2)^2)),"")</f>
        <v>835.16818883260134</v>
      </c>
      <c r="R712" s="39">
        <f>IF(ISNUMBER(Q712),IF(Q712&lt;=Finder!$D$7,1,0),0)</f>
        <v>0</v>
      </c>
      <c r="S712" s="39" t="str">
        <f>IF(R712=1,O712+ROW()*0.000000001,"")</f>
        <v/>
      </c>
      <c r="T712" s="39" t="str">
        <f>IF(O712&gt;0,INDEX(Calc!$B$4:$B$11,MATCH(MAX(G712:N712),G712:N712,0)),"-")</f>
        <v>Paddy Straw</v>
      </c>
    </row>
    <row r="713" spans="1:20">
      <c r="A713" s="39">
        <v>710</v>
      </c>
      <c r="B713" s="39" t="s">
        <v>796</v>
      </c>
      <c r="C713" s="39" t="s">
        <v>797</v>
      </c>
      <c r="D713" s="39" t="str">
        <f>B713&amp;"|"&amp;C713</f>
        <v>Uttarakhand|Almora</v>
      </c>
      <c r="E713" s="40">
        <v>29.6</v>
      </c>
      <c r="F713" s="40">
        <v>79.66</v>
      </c>
      <c r="G713" s="41">
        <v>3.78</v>
      </c>
      <c r="H713" s="41">
        <v>5.4</v>
      </c>
      <c r="I713" s="41">
        <v>1.2694000000000001</v>
      </c>
      <c r="J713" s="41">
        <v>0.83179999999999998</v>
      </c>
      <c r="K713" s="41">
        <v>0</v>
      </c>
      <c r="L713" s="41">
        <v>0</v>
      </c>
      <c r="M713" s="41">
        <v>0.97650000000000003</v>
      </c>
      <c r="N713" s="41">
        <v>0</v>
      </c>
      <c r="O713" s="42">
        <f>SUM(G713:N713)</f>
        <v>12.2577</v>
      </c>
      <c r="P713" s="42">
        <f>SUMPRODUCT(G713:N713,$G$2:$N$2)*1000/Assumptions!$C$15</f>
        <v>4.2914706897360713</v>
      </c>
      <c r="Q713" s="43">
        <f>IF(ISNUMBER(Finder!$G$5),Finder!$D$8*Assumptions!$C$16*2*ASIN(SQRT(SIN(RADIANS(E713-Finder!$G$5)/2)^2+COS(RADIANS(Finder!$G$5))*COS(RADIANS(E713))*SIN(RADIANS(F713-Finder!$G$6)/2)^2)),"")</f>
        <v>385.02482478507085</v>
      </c>
      <c r="R713" s="39">
        <f>IF(ISNUMBER(Q713),IF(Q713&lt;=Finder!$D$7,1,0),0)</f>
        <v>0</v>
      </c>
      <c r="S713" s="39" t="str">
        <f>IF(R713=1,O713+ROW()*0.000000001,"")</f>
        <v/>
      </c>
      <c r="T713" s="39" t="str">
        <f>IF(O713&gt;0,INDEX(Calc!$B$4:$B$11,MATCH(MAX(G713:N713),G713:N713,0)),"-")</f>
        <v>Wheat Straw</v>
      </c>
    </row>
    <row r="714" spans="1:20">
      <c r="A714" s="39">
        <v>711</v>
      </c>
      <c r="B714" s="39" t="s">
        <v>796</v>
      </c>
      <c r="C714" s="39" t="s">
        <v>798</v>
      </c>
      <c r="D714" s="39" t="str">
        <f>B714&amp;"|"&amp;C714</f>
        <v>Uttarakhand|Bageshwar</v>
      </c>
      <c r="E714" s="40">
        <v>29.84</v>
      </c>
      <c r="F714" s="40">
        <v>79.77</v>
      </c>
      <c r="G714" s="41">
        <v>5.46</v>
      </c>
      <c r="H714" s="41">
        <v>5.4</v>
      </c>
      <c r="I714" s="41">
        <v>0.40839999999999999</v>
      </c>
      <c r="J714" s="41">
        <v>0.14449999999999999</v>
      </c>
      <c r="K714" s="41">
        <v>0</v>
      </c>
      <c r="L714" s="41">
        <v>0</v>
      </c>
      <c r="M714" s="41">
        <v>4.9000000000000002E-2</v>
      </c>
      <c r="N714" s="41">
        <v>0</v>
      </c>
      <c r="O714" s="42">
        <f>SUM(G714:N714)</f>
        <v>11.4619</v>
      </c>
      <c r="P714" s="42">
        <f>SUMPRODUCT(G714:N714,$G$2:$N$2)*1000/Assumptions!$C$15</f>
        <v>4.158905960117302</v>
      </c>
      <c r="Q714" s="43">
        <f>IF(ISNUMBER(Finder!$G$5),Finder!$D$8*Assumptions!$C$16*2*ASIN(SQRT(SIN(RADIANS(E714-Finder!$G$5)/2)^2+COS(RADIANS(Finder!$G$5))*COS(RADIANS(E714))*SIN(RADIANS(F714-Finder!$G$6)/2)^2)),"")</f>
        <v>399.38926623555284</v>
      </c>
      <c r="R714" s="39">
        <f>IF(ISNUMBER(Q714),IF(Q714&lt;=Finder!$D$7,1,0),0)</f>
        <v>0</v>
      </c>
      <c r="S714" s="39" t="str">
        <f>IF(R714=1,O714+ROW()*0.000000001,"")</f>
        <v/>
      </c>
      <c r="T714" s="39" t="str">
        <f>IF(O714&gt;0,INDEX(Calc!$B$4:$B$11,MATCH(MAX(G714:N714),G714:N714,0)),"-")</f>
        <v>Paddy Straw</v>
      </c>
    </row>
    <row r="715" spans="1:20">
      <c r="A715" s="39">
        <v>712</v>
      </c>
      <c r="B715" s="39" t="s">
        <v>796</v>
      </c>
      <c r="C715" s="39" t="s">
        <v>799</v>
      </c>
      <c r="D715" s="39" t="str">
        <f>B715&amp;"|"&amp;C715</f>
        <v>Uttarakhand|Chamoli</v>
      </c>
      <c r="E715" s="40">
        <v>30.41</v>
      </c>
      <c r="F715" s="40">
        <v>79.319999999999993</v>
      </c>
      <c r="G715" s="41">
        <v>4.2</v>
      </c>
      <c r="H715" s="41">
        <v>4.95</v>
      </c>
      <c r="I715" s="41">
        <v>0.252</v>
      </c>
      <c r="J715" s="41">
        <v>0.27989999999999998</v>
      </c>
      <c r="K715" s="41">
        <v>0</v>
      </c>
      <c r="L715" s="41">
        <v>0</v>
      </c>
      <c r="M715" s="41">
        <v>0.3281</v>
      </c>
      <c r="N715" s="41">
        <v>0</v>
      </c>
      <c r="O715" s="42">
        <f>SUM(G715:N715)</f>
        <v>10.01</v>
      </c>
      <c r="P715" s="42">
        <f>SUMPRODUCT(G715:N715,$G$2:$N$2)*1000/Assumptions!$C$15</f>
        <v>3.6140570404692074</v>
      </c>
      <c r="Q715" s="43">
        <f>IF(ISNUMBER(Finder!$G$5),Finder!$D$8*Assumptions!$C$16*2*ASIN(SQRT(SIN(RADIANS(E715-Finder!$G$5)/2)^2+COS(RADIANS(Finder!$G$5))*COS(RADIANS(E715))*SIN(RADIANS(F715-Finder!$G$6)/2)^2)),"")</f>
        <v>374.59699882985387</v>
      </c>
      <c r="R715" s="39">
        <f>IF(ISNUMBER(Q715),IF(Q715&lt;=Finder!$D$7,1,0),0)</f>
        <v>0</v>
      </c>
      <c r="S715" s="39" t="str">
        <f>IF(R715=1,O715+ROW()*0.000000001,"")</f>
        <v/>
      </c>
      <c r="T715" s="39" t="str">
        <f>IF(O715&gt;0,INDEX(Calc!$B$4:$B$11,MATCH(MAX(G715:N715),G715:N715,0)),"-")</f>
        <v>Wheat Straw</v>
      </c>
    </row>
    <row r="716" spans="1:20">
      <c r="A716" s="39">
        <v>713</v>
      </c>
      <c r="B716" s="39" t="s">
        <v>796</v>
      </c>
      <c r="C716" s="39" t="s">
        <v>800</v>
      </c>
      <c r="D716" s="39" t="str">
        <f>B716&amp;"|"&amp;C716</f>
        <v>Uttarakhand|Champawat</v>
      </c>
      <c r="E716" s="40">
        <v>29.34</v>
      </c>
      <c r="F716" s="40">
        <v>80.09</v>
      </c>
      <c r="G716" s="41">
        <v>1.26</v>
      </c>
      <c r="H716" s="41">
        <v>1.8</v>
      </c>
      <c r="I716" s="41">
        <v>1.7031000000000001</v>
      </c>
      <c r="J716" s="41">
        <v>0.3987</v>
      </c>
      <c r="K716" s="41">
        <v>0</v>
      </c>
      <c r="L716" s="41">
        <v>0</v>
      </c>
      <c r="M716" s="41">
        <v>0.68510000000000004</v>
      </c>
      <c r="N716" s="41">
        <v>0</v>
      </c>
      <c r="O716" s="42">
        <f>SUM(G716:N716)</f>
        <v>5.8468999999999998</v>
      </c>
      <c r="P716" s="42">
        <f>SUMPRODUCT(G716:N716,$G$2:$N$2)*1000/Assumptions!$C$15</f>
        <v>1.9563143026392962</v>
      </c>
      <c r="Q716" s="43">
        <f>IF(ISNUMBER(Finder!$G$5),Finder!$D$8*Assumptions!$C$16*2*ASIN(SQRT(SIN(RADIANS(E716-Finder!$G$5)/2)^2+COS(RADIANS(Finder!$G$5))*COS(RADIANS(E716))*SIN(RADIANS(F716-Finder!$G$6)/2)^2)),"")</f>
        <v>424.48673892947403</v>
      </c>
      <c r="R716" s="39">
        <f>IF(ISNUMBER(Q716),IF(Q716&lt;=Finder!$D$7,1,0),0)</f>
        <v>0</v>
      </c>
      <c r="S716" s="39" t="str">
        <f>IF(R716=1,O716+ROW()*0.000000001,"")</f>
        <v/>
      </c>
      <c r="T716" s="39" t="str">
        <f>IF(O716&gt;0,INDEX(Calc!$B$4:$B$11,MATCH(MAX(G716:N716),G716:N716,0)),"-")</f>
        <v>Wheat Straw</v>
      </c>
    </row>
    <row r="717" spans="1:20">
      <c r="A717" s="39">
        <v>714</v>
      </c>
      <c r="B717" s="39" t="s">
        <v>796</v>
      </c>
      <c r="C717" s="39" t="s">
        <v>801</v>
      </c>
      <c r="D717" s="39" t="str">
        <f>B717&amp;"|"&amp;C717</f>
        <v>Uttarakhand|Dehradun</v>
      </c>
      <c r="E717" s="40">
        <v>30.32</v>
      </c>
      <c r="F717" s="40">
        <v>78.03</v>
      </c>
      <c r="G717" s="41">
        <v>3.36</v>
      </c>
      <c r="H717" s="41">
        <v>4.95</v>
      </c>
      <c r="I717" s="41">
        <v>7.4775999999999998</v>
      </c>
      <c r="J717" s="41">
        <v>0.46</v>
      </c>
      <c r="K717" s="41">
        <v>50.493600000000001</v>
      </c>
      <c r="L717" s="41">
        <v>5.8909000000000002</v>
      </c>
      <c r="M717" s="41">
        <v>1.4E-2</v>
      </c>
      <c r="N717" s="41">
        <v>0</v>
      </c>
      <c r="O717" s="42">
        <f>SUM(G717:N717)</f>
        <v>72.646100000000004</v>
      </c>
      <c r="P717" s="42">
        <f>SUMPRODUCT(G717:N717,$G$2:$N$2)*1000/Assumptions!$C$15</f>
        <v>21.873299761583578</v>
      </c>
      <c r="Q717" s="43">
        <f>IF(ISNUMBER(Finder!$G$5),Finder!$D$8*Assumptions!$C$16*2*ASIN(SQRT(SIN(RADIANS(E717-Finder!$G$5)/2)^2+COS(RADIANS(Finder!$G$5))*COS(RADIANS(E717))*SIN(RADIANS(F717-Finder!$G$6)/2)^2)),"")</f>
        <v>258.19932394654933</v>
      </c>
      <c r="R717" s="39">
        <f>IF(ISNUMBER(Q717),IF(Q717&lt;=Finder!$D$7,1,0),0)</f>
        <v>0</v>
      </c>
      <c r="S717" s="39" t="str">
        <f>IF(R717=1,O717+ROW()*0.000000001,"")</f>
        <v/>
      </c>
      <c r="T717" s="39" t="str">
        <f>IF(O717&gt;0,INDEX(Calc!$B$4:$B$11,MATCH(MAX(G717:N717),G717:N717,0)),"-")</f>
        <v>Cane Trash</v>
      </c>
    </row>
    <row r="718" spans="1:20">
      <c r="A718" s="39">
        <v>715</v>
      </c>
      <c r="B718" s="39" t="s">
        <v>796</v>
      </c>
      <c r="C718" s="39" t="s">
        <v>802</v>
      </c>
      <c r="D718" s="39" t="str">
        <f>B718&amp;"|"&amp;C718</f>
        <v>Uttarakhand|Haridwar</v>
      </c>
      <c r="E718" s="40">
        <v>29.95</v>
      </c>
      <c r="F718" s="40">
        <v>78.16</v>
      </c>
      <c r="G718" s="41">
        <v>5.46</v>
      </c>
      <c r="H718" s="41">
        <v>18.899999999999999</v>
      </c>
      <c r="I718" s="41">
        <v>0.52600000000000002</v>
      </c>
      <c r="J718" s="41">
        <v>1.4907999999999999</v>
      </c>
      <c r="K718" s="41">
        <v>1288.2819999999999</v>
      </c>
      <c r="L718" s="41">
        <v>150.2996</v>
      </c>
      <c r="M718" s="41">
        <v>0</v>
      </c>
      <c r="N718" s="41">
        <v>0</v>
      </c>
      <c r="O718" s="42">
        <f>SUM(G718:N718)</f>
        <v>1464.9584</v>
      </c>
      <c r="P718" s="42">
        <f>SUMPRODUCT(G718:N718,$G$2:$N$2)*1000/Assumptions!$C$15</f>
        <v>430.1863759049852</v>
      </c>
      <c r="Q718" s="43">
        <f>IF(ISNUMBER(Finder!$G$5),Finder!$D$8*Assumptions!$C$16*2*ASIN(SQRT(SIN(RADIANS(E718-Finder!$G$5)/2)^2+COS(RADIANS(Finder!$G$5))*COS(RADIANS(E718))*SIN(RADIANS(F718-Finder!$G$6)/2)^2)),"")</f>
        <v>252.22382680176173</v>
      </c>
      <c r="R718" s="39">
        <f>IF(ISNUMBER(Q718),IF(Q718&lt;=Finder!$D$7,1,0),0)</f>
        <v>0</v>
      </c>
      <c r="S718" s="39" t="str">
        <f>IF(R718=1,O718+ROW()*0.000000001,"")</f>
        <v/>
      </c>
      <c r="T718" s="39" t="str">
        <f>IF(O718&gt;0,INDEX(Calc!$B$4:$B$11,MATCH(MAX(G718:N718),G718:N718,0)),"-")</f>
        <v>Cane Trash</v>
      </c>
    </row>
    <row r="719" spans="1:20">
      <c r="A719" s="39">
        <v>716</v>
      </c>
      <c r="B719" s="39" t="s">
        <v>796</v>
      </c>
      <c r="C719" s="39" t="s">
        <v>803</v>
      </c>
      <c r="D719" s="39" t="str">
        <f>B719&amp;"|"&amp;C719</f>
        <v>Uttarakhand|Nainital</v>
      </c>
      <c r="E719" s="40">
        <v>29.38</v>
      </c>
      <c r="F719" s="40">
        <v>79.459999999999994</v>
      </c>
      <c r="G719" s="41">
        <v>4.62</v>
      </c>
      <c r="H719" s="41">
        <v>8.5500000000000007</v>
      </c>
      <c r="I719" s="41">
        <v>7.0233999999999996</v>
      </c>
      <c r="J719" s="41">
        <v>0.33810000000000001</v>
      </c>
      <c r="K719" s="41">
        <v>34.6325</v>
      </c>
      <c r="L719" s="41">
        <v>4.0404999999999998</v>
      </c>
      <c r="M719" s="41">
        <v>4.298</v>
      </c>
      <c r="N719" s="41">
        <v>0</v>
      </c>
      <c r="O719" s="42">
        <f>SUM(G719:N719)</f>
        <v>63.502500000000005</v>
      </c>
      <c r="P719" s="42">
        <f>SUMPRODUCT(G719:N719,$G$2:$N$2)*1000/Assumptions!$C$15</f>
        <v>19.658983746334311</v>
      </c>
      <c r="Q719" s="43">
        <f>IF(ISNUMBER(Finder!$G$5),Finder!$D$8*Assumptions!$C$16*2*ASIN(SQRT(SIN(RADIANS(E719-Finder!$G$5)/2)^2+COS(RADIANS(Finder!$G$5))*COS(RADIANS(E719))*SIN(RADIANS(F719-Finder!$G$6)/2)^2)),"")</f>
        <v>363.67535102572236</v>
      </c>
      <c r="R719" s="39">
        <f>IF(ISNUMBER(Q719),IF(Q719&lt;=Finder!$D$7,1,0),0)</f>
        <v>0</v>
      </c>
      <c r="S719" s="39" t="str">
        <f>IF(R719=1,O719+ROW()*0.000000001,"")</f>
        <v/>
      </c>
      <c r="T719" s="39" t="str">
        <f>IF(O719&gt;0,INDEX(Calc!$B$4:$B$11,MATCH(MAX(G719:N719),G719:N719,0)),"-")</f>
        <v>Cane Trash</v>
      </c>
    </row>
    <row r="720" spans="1:20">
      <c r="A720" s="39">
        <v>717</v>
      </c>
      <c r="B720" s="39" t="s">
        <v>796</v>
      </c>
      <c r="C720" s="39" t="s">
        <v>804</v>
      </c>
      <c r="D720" s="39" t="str">
        <f>B720&amp;"|"&amp;C720</f>
        <v>Uttarakhand|Pauri Garhwal</v>
      </c>
      <c r="E720" s="40">
        <v>30.15</v>
      </c>
      <c r="F720" s="40">
        <v>78.78</v>
      </c>
      <c r="G720" s="41">
        <v>1.68</v>
      </c>
      <c r="H720" s="41">
        <v>2.25</v>
      </c>
      <c r="I720" s="41">
        <v>2.1303999999999998</v>
      </c>
      <c r="J720" s="41">
        <v>0.3785</v>
      </c>
      <c r="K720" s="41">
        <v>0</v>
      </c>
      <c r="L720" s="41">
        <v>0</v>
      </c>
      <c r="M720" s="41">
        <v>0.2581</v>
      </c>
      <c r="N720" s="41">
        <v>0</v>
      </c>
      <c r="O720" s="42">
        <f>SUM(G720:N720)</f>
        <v>6.6969999999999992</v>
      </c>
      <c r="P720" s="42">
        <f>SUMPRODUCT(G720:N720,$G$2:$N$2)*1000/Assumptions!$C$15</f>
        <v>2.260136078592375</v>
      </c>
      <c r="Q720" s="43">
        <f>IF(ISNUMBER(Finder!$G$5),Finder!$D$8*Assumptions!$C$16*2*ASIN(SQRT(SIN(RADIANS(E720-Finder!$G$5)/2)^2+COS(RADIANS(Finder!$G$5))*COS(RADIANS(E720))*SIN(RADIANS(F720-Finder!$G$6)/2)^2)),"")</f>
        <v>315.90504715747835</v>
      </c>
      <c r="R720" s="39">
        <f>IF(ISNUMBER(Q720),IF(Q720&lt;=Finder!$D$7,1,0),0)</f>
        <v>0</v>
      </c>
      <c r="S720" s="39" t="str">
        <f>IF(R720=1,O720+ROW()*0.000000001,"")</f>
        <v/>
      </c>
      <c r="T720" s="39" t="str">
        <f>IF(O720&gt;0,INDEX(Calc!$B$4:$B$11,MATCH(MAX(G720:N720),G720:N720,0)),"-")</f>
        <v>Wheat Straw</v>
      </c>
    </row>
    <row r="721" spans="1:20">
      <c r="A721" s="39">
        <v>718</v>
      </c>
      <c r="B721" s="39" t="s">
        <v>796</v>
      </c>
      <c r="C721" s="39" t="s">
        <v>805</v>
      </c>
      <c r="D721" s="39" t="str">
        <f>B721&amp;"|"&amp;C721</f>
        <v>Uttarakhand|Pithoragarh</v>
      </c>
      <c r="E721" s="40">
        <v>29.58</v>
      </c>
      <c r="F721" s="40">
        <v>80.209999999999994</v>
      </c>
      <c r="G721" s="41">
        <v>5.88</v>
      </c>
      <c r="H721" s="41">
        <v>6.3</v>
      </c>
      <c r="I721" s="41">
        <v>2.0459000000000001</v>
      </c>
      <c r="J721" s="41">
        <v>0.55920000000000003</v>
      </c>
      <c r="K721" s="41">
        <v>0</v>
      </c>
      <c r="L721" s="41">
        <v>0</v>
      </c>
      <c r="M721" s="41">
        <v>0.79890000000000005</v>
      </c>
      <c r="N721" s="41">
        <v>0</v>
      </c>
      <c r="O721" s="42">
        <f>SUM(G721:N721)</f>
        <v>15.584</v>
      </c>
      <c r="P721" s="42">
        <f>SUMPRODUCT(G721:N721,$G$2:$N$2)*1000/Assumptions!$C$15</f>
        <v>5.4832875636363632</v>
      </c>
      <c r="Q721" s="43">
        <f>IF(ISNUMBER(Finder!$G$5),Finder!$D$8*Assumptions!$C$16*2*ASIN(SQRT(SIN(RADIANS(E721-Finder!$G$5)/2)^2+COS(RADIANS(Finder!$G$5))*COS(RADIANS(E721))*SIN(RADIANS(F721-Finder!$G$6)/2)^2)),"")</f>
        <v>437.706973813069</v>
      </c>
      <c r="R721" s="39">
        <f>IF(ISNUMBER(Q721),IF(Q721&lt;=Finder!$D$7,1,0),0)</f>
        <v>0</v>
      </c>
      <c r="S721" s="39" t="str">
        <f>IF(R721=1,O721+ROW()*0.000000001,"")</f>
        <v/>
      </c>
      <c r="T721" s="39" t="str">
        <f>IF(O721&gt;0,INDEX(Calc!$B$4:$B$11,MATCH(MAX(G721:N721),G721:N721,0)),"-")</f>
        <v>Wheat Straw</v>
      </c>
    </row>
    <row r="722" spans="1:20">
      <c r="A722" s="39">
        <v>719</v>
      </c>
      <c r="B722" s="39" t="s">
        <v>796</v>
      </c>
      <c r="C722" s="39" t="s">
        <v>806</v>
      </c>
      <c r="D722" s="39" t="str">
        <f>B722&amp;"|"&amp;C722</f>
        <v>Uttarakhand|Rudraprayag</v>
      </c>
      <c r="E722" s="40">
        <v>30.28</v>
      </c>
      <c r="F722" s="40">
        <v>78.98</v>
      </c>
      <c r="G722" s="41">
        <v>2.94</v>
      </c>
      <c r="H722" s="41">
        <v>3.6</v>
      </c>
      <c r="I722" s="41">
        <v>0.2457</v>
      </c>
      <c r="J722" s="41">
        <v>0.18010000000000001</v>
      </c>
      <c r="K722" s="41">
        <v>0</v>
      </c>
      <c r="L722" s="41">
        <v>0</v>
      </c>
      <c r="M722" s="41">
        <v>4.6399999999999997E-2</v>
      </c>
      <c r="N722" s="41">
        <v>0</v>
      </c>
      <c r="O722" s="42">
        <f>SUM(G722:N722)</f>
        <v>7.0122000000000009</v>
      </c>
      <c r="P722" s="42">
        <f>SUMPRODUCT(G722:N722,$G$2:$N$2)*1000/Assumptions!$C$15</f>
        <v>2.5371800304985332</v>
      </c>
      <c r="Q722" s="43">
        <f>IF(ISNUMBER(Finder!$G$5),Finder!$D$8*Assumptions!$C$16*2*ASIN(SQRT(SIN(RADIANS(E722-Finder!$G$5)/2)^2+COS(RADIANS(Finder!$G$5))*COS(RADIANS(E722))*SIN(RADIANS(F722-Finder!$G$6)/2)^2)),"")</f>
        <v>338.95678773228667</v>
      </c>
      <c r="R722" s="39">
        <f>IF(ISNUMBER(Q722),IF(Q722&lt;=Finder!$D$7,1,0),0)</f>
        <v>0</v>
      </c>
      <c r="S722" s="39" t="str">
        <f>IF(R722=1,O722+ROW()*0.000000001,"")</f>
        <v/>
      </c>
      <c r="T722" s="39" t="str">
        <f>IF(O722&gt;0,INDEX(Calc!$B$4:$B$11,MATCH(MAX(G722:N722),G722:N722,0)),"-")</f>
        <v>Wheat Straw</v>
      </c>
    </row>
    <row r="723" spans="1:20">
      <c r="A723" s="39">
        <v>720</v>
      </c>
      <c r="B723" s="39" t="s">
        <v>796</v>
      </c>
      <c r="C723" s="39" t="s">
        <v>807</v>
      </c>
      <c r="D723" s="39" t="str">
        <f>B723&amp;"|"&amp;C723</f>
        <v>Uttarakhand|Tehri Garhwal</v>
      </c>
      <c r="E723" s="40">
        <v>30.38</v>
      </c>
      <c r="F723" s="40">
        <v>78.430000000000007</v>
      </c>
      <c r="G723" s="41">
        <v>2.94</v>
      </c>
      <c r="H723" s="41">
        <v>4.95</v>
      </c>
      <c r="I723" s="41">
        <v>1.4390000000000001</v>
      </c>
      <c r="J723" s="41">
        <v>0.27810000000000001</v>
      </c>
      <c r="K723" s="41">
        <v>0</v>
      </c>
      <c r="L723" s="41">
        <v>0</v>
      </c>
      <c r="M723" s="41">
        <v>0.52849999999999997</v>
      </c>
      <c r="N723" s="41">
        <v>0</v>
      </c>
      <c r="O723" s="42">
        <f>SUM(G723:N723)</f>
        <v>10.1356</v>
      </c>
      <c r="P723" s="42">
        <f>SUMPRODUCT(G723:N723,$G$2:$N$2)*1000/Assumptions!$C$15</f>
        <v>3.5641470604105581</v>
      </c>
      <c r="Q723" s="43">
        <f>IF(ISNUMBER(Finder!$G$5),Finder!$D$8*Assumptions!$C$16*2*ASIN(SQRT(SIN(RADIANS(E723-Finder!$G$5)/2)^2+COS(RADIANS(Finder!$G$5))*COS(RADIANS(E723))*SIN(RADIANS(F723-Finder!$G$6)/2)^2)),"")</f>
        <v>295.16596291312652</v>
      </c>
      <c r="R723" s="39">
        <f>IF(ISNUMBER(Q723),IF(Q723&lt;=Finder!$D$7,1,0),0)</f>
        <v>0</v>
      </c>
      <c r="S723" s="39" t="str">
        <f>IF(R723=1,O723+ROW()*0.000000001,"")</f>
        <v/>
      </c>
      <c r="T723" s="39" t="str">
        <f>IF(O723&gt;0,INDEX(Calc!$B$4:$B$11,MATCH(MAX(G723:N723),G723:N723,0)),"-")</f>
        <v>Wheat Straw</v>
      </c>
    </row>
    <row r="724" spans="1:20">
      <c r="A724" s="39">
        <v>721</v>
      </c>
      <c r="B724" s="39" t="s">
        <v>796</v>
      </c>
      <c r="C724" s="39" t="s">
        <v>808</v>
      </c>
      <c r="D724" s="39" t="str">
        <f>B724&amp;"|"&amp;C724</f>
        <v>Uttarakhand|Udham Singh Nagar</v>
      </c>
      <c r="E724" s="40">
        <v>28.98</v>
      </c>
      <c r="F724" s="40">
        <v>79.400000000000006</v>
      </c>
      <c r="G724" s="41">
        <v>45.78</v>
      </c>
      <c r="H724" s="41">
        <v>45.45</v>
      </c>
      <c r="I724" s="41">
        <v>0.60270000000000001</v>
      </c>
      <c r="J724" s="41">
        <v>5.8266999999999998</v>
      </c>
      <c r="K724" s="41">
        <v>246.94489999999999</v>
      </c>
      <c r="L724" s="41">
        <v>28.810199999999998</v>
      </c>
      <c r="M724" s="41">
        <v>3.7600000000000001E-2</v>
      </c>
      <c r="N724" s="41">
        <v>0</v>
      </c>
      <c r="O724" s="42">
        <f>SUM(G724:N724)</f>
        <v>373.45209999999997</v>
      </c>
      <c r="P724" s="42">
        <f>SUMPRODUCT(G724:N724,$G$2:$N$2)*1000/Assumptions!$C$15</f>
        <v>115.97915191495602</v>
      </c>
      <c r="Q724" s="43">
        <f>IF(ISNUMBER(Finder!$G$5),Finder!$D$8*Assumptions!$C$16*2*ASIN(SQRT(SIN(RADIANS(E724-Finder!$G$5)/2)^2+COS(RADIANS(Finder!$G$5))*COS(RADIANS(E724))*SIN(RADIANS(F724-Finder!$G$6)/2)^2)),"")</f>
        <v>358.15119394973181</v>
      </c>
      <c r="R724" s="39">
        <f>IF(ISNUMBER(Q724),IF(Q724&lt;=Finder!$D$7,1,0),0)</f>
        <v>0</v>
      </c>
      <c r="S724" s="39" t="str">
        <f>IF(R724=1,O724+ROW()*0.000000001,"")</f>
        <v/>
      </c>
      <c r="T724" s="39" t="str">
        <f>IF(O724&gt;0,INDEX(Calc!$B$4:$B$11,MATCH(MAX(G724:N724),G724:N724,0)),"-")</f>
        <v>Cane Trash</v>
      </c>
    </row>
    <row r="725" spans="1:20">
      <c r="A725" s="39">
        <v>722</v>
      </c>
      <c r="B725" s="39" t="s">
        <v>796</v>
      </c>
      <c r="C725" s="39" t="s">
        <v>809</v>
      </c>
      <c r="D725" s="39" t="str">
        <f>B725&amp;"|"&amp;C725</f>
        <v>Uttarakhand|Uttarkashi</v>
      </c>
      <c r="E725" s="40">
        <v>30.73</v>
      </c>
      <c r="F725" s="40">
        <v>78.44</v>
      </c>
      <c r="G725" s="41">
        <v>3.78</v>
      </c>
      <c r="H725" s="41">
        <v>3.6</v>
      </c>
      <c r="I725" s="41">
        <v>0.7046</v>
      </c>
      <c r="J725" s="41">
        <v>0.52549999999999997</v>
      </c>
      <c r="K725" s="41">
        <v>0</v>
      </c>
      <c r="L725" s="41">
        <v>0</v>
      </c>
      <c r="M725" s="41">
        <v>0.36309999999999998</v>
      </c>
      <c r="N725" s="41">
        <v>0</v>
      </c>
      <c r="O725" s="42">
        <f>SUM(G725:N725)</f>
        <v>8.9731999999999985</v>
      </c>
      <c r="P725" s="42">
        <f>SUMPRODUCT(G725:N725,$G$2:$N$2)*1000/Assumptions!$C$15</f>
        <v>3.181706369501466</v>
      </c>
      <c r="Q725" s="43">
        <f>IF(ISNUMBER(Finder!$G$5),Finder!$D$8*Assumptions!$C$16*2*ASIN(SQRT(SIN(RADIANS(E725-Finder!$G$5)/2)^2+COS(RADIANS(Finder!$G$5))*COS(RADIANS(E725))*SIN(RADIANS(F725-Finder!$G$6)/2)^2)),"")</f>
        <v>315.50653025885487</v>
      </c>
      <c r="R725" s="39">
        <f>IF(ISNUMBER(Q725),IF(Q725&lt;=Finder!$D$7,1,0),0)</f>
        <v>0</v>
      </c>
      <c r="S725" s="39" t="str">
        <f>IF(R725=1,O725+ROW()*0.000000001,"")</f>
        <v/>
      </c>
      <c r="T725" s="39" t="str">
        <f>IF(O725&gt;0,INDEX(Calc!$B$4:$B$11,MATCH(MAX(G725:N725),G725:N725,0)),"-")</f>
        <v>Paddy Straw</v>
      </c>
    </row>
    <row r="726" spans="1:20">
      <c r="A726" s="39">
        <v>723</v>
      </c>
      <c r="B726" s="39" t="s">
        <v>810</v>
      </c>
      <c r="C726" s="39" t="s">
        <v>811</v>
      </c>
      <c r="D726" s="39" t="str">
        <f>B726&amp;"|"&amp;C726</f>
        <v>West Bengal|Alipurduar</v>
      </c>
      <c r="E726" s="40">
        <v>26.49</v>
      </c>
      <c r="F726" s="40">
        <v>89.53</v>
      </c>
      <c r="G726" s="41">
        <v>0</v>
      </c>
      <c r="H726" s="41">
        <v>0</v>
      </c>
      <c r="I726" s="41">
        <v>170.541</v>
      </c>
      <c r="J726" s="41">
        <v>2.3837999999999999</v>
      </c>
      <c r="K726" s="41">
        <v>0.78680000000000005</v>
      </c>
      <c r="L726" s="41">
        <v>9.1800000000000007E-2</v>
      </c>
      <c r="M726" s="41">
        <v>0</v>
      </c>
      <c r="N726" s="41">
        <v>0</v>
      </c>
      <c r="O726" s="42">
        <f>SUM(G726:N726)</f>
        <v>173.80340000000001</v>
      </c>
      <c r="P726" s="42">
        <f>SUMPRODUCT(G726:N726,$G$2:$N$2)*1000/Assumptions!$C$15</f>
        <v>51.12824732961878</v>
      </c>
      <c r="Q726" s="43">
        <f>IF(ISNUMBER(Finder!$G$5),Finder!$D$8*Assumptions!$C$16*2*ASIN(SQRT(SIN(RADIANS(E726-Finder!$G$5)/2)^2+COS(RADIANS(Finder!$G$5))*COS(RADIANS(E726))*SIN(RADIANS(F726-Finder!$G$6)/2)^2)),"")</f>
        <v>1389.0274780461493</v>
      </c>
      <c r="R726" s="39">
        <f>IF(ISNUMBER(Q726),IF(Q726&lt;=Finder!$D$7,1,0),0)</f>
        <v>0</v>
      </c>
      <c r="S726" s="39" t="str">
        <f>IF(R726=1,O726+ROW()*0.000000001,"")</f>
        <v/>
      </c>
      <c r="T726" s="39" t="str">
        <f>IF(O726&gt;0,INDEX(Calc!$B$4:$B$11,MATCH(MAX(G726:N726),G726:N726,0)),"-")</f>
        <v>Maize Stover</v>
      </c>
    </row>
    <row r="727" spans="1:20">
      <c r="A727" s="39">
        <v>724</v>
      </c>
      <c r="B727" s="39" t="s">
        <v>810</v>
      </c>
      <c r="C727" s="39" t="s">
        <v>812</v>
      </c>
      <c r="D727" s="39" t="str">
        <f>B727&amp;"|"&amp;C727</f>
        <v>West Bengal|Bankura</v>
      </c>
      <c r="E727" s="40">
        <v>23.23</v>
      </c>
      <c r="F727" s="40">
        <v>87.07</v>
      </c>
      <c r="G727" s="41">
        <v>0</v>
      </c>
      <c r="H727" s="41">
        <v>0</v>
      </c>
      <c r="I727" s="41">
        <v>2.8529</v>
      </c>
      <c r="J727" s="41">
        <v>13.4278</v>
      </c>
      <c r="K727" s="41">
        <v>0.47789999999999999</v>
      </c>
      <c r="L727" s="41">
        <v>5.5800000000000002E-2</v>
      </c>
      <c r="M727" s="41">
        <v>0</v>
      </c>
      <c r="N727" s="41">
        <v>0</v>
      </c>
      <c r="O727" s="42">
        <f>SUM(G727:N727)</f>
        <v>16.814400000000003</v>
      </c>
      <c r="P727" s="42">
        <f>SUMPRODUCT(G727:N727,$G$2:$N$2)*1000/Assumptions!$C$15</f>
        <v>4.9455403583577704</v>
      </c>
      <c r="Q727" s="43">
        <f>IF(ISNUMBER(Finder!$G$5),Finder!$D$8*Assumptions!$C$16*2*ASIN(SQRT(SIN(RADIANS(E727-Finder!$G$5)/2)^2+COS(RADIANS(Finder!$G$5))*COS(RADIANS(E727))*SIN(RADIANS(F727-Finder!$G$6)/2)^2)),"")</f>
        <v>1308.8448386987632</v>
      </c>
      <c r="R727" s="39">
        <f>IF(ISNUMBER(Q727),IF(Q727&lt;=Finder!$D$7,1,0),0)</f>
        <v>0</v>
      </c>
      <c r="S727" s="39" t="str">
        <f>IF(R727=1,O727+ROW()*0.000000001,"")</f>
        <v/>
      </c>
      <c r="T727" s="39" t="str">
        <f>IF(O727&gt;0,INDEX(Calc!$B$4:$B$11,MATCH(MAX(G727:N727),G727:N727,0)),"-")</f>
        <v>Mustard Stalk</v>
      </c>
    </row>
    <row r="728" spans="1:20">
      <c r="A728" s="39">
        <v>725</v>
      </c>
      <c r="B728" s="39" t="s">
        <v>810</v>
      </c>
      <c r="C728" s="39" t="s">
        <v>813</v>
      </c>
      <c r="D728" s="39" t="str">
        <f>B728&amp;"|"&amp;C728</f>
        <v>West Bengal|Birbhum</v>
      </c>
      <c r="E728" s="40">
        <v>23.91</v>
      </c>
      <c r="F728" s="40">
        <v>87.53</v>
      </c>
      <c r="G728" s="41">
        <v>0</v>
      </c>
      <c r="H728" s="41">
        <v>0</v>
      </c>
      <c r="I728" s="41">
        <v>14.4259</v>
      </c>
      <c r="J728" s="41">
        <v>29.169699999999999</v>
      </c>
      <c r="K728" s="41">
        <v>13.5738</v>
      </c>
      <c r="L728" s="41">
        <v>1.5835999999999999</v>
      </c>
      <c r="M728" s="41">
        <v>3.4099999999999998E-2</v>
      </c>
      <c r="N728" s="41">
        <v>0</v>
      </c>
      <c r="O728" s="42">
        <f>SUM(G728:N728)</f>
        <v>58.787099999999995</v>
      </c>
      <c r="P728" s="42">
        <f>SUMPRODUCT(G728:N728,$G$2:$N$2)*1000/Assumptions!$C$15</f>
        <v>17.268064410557187</v>
      </c>
      <c r="Q728" s="43">
        <f>IF(ISNUMBER(Finder!$G$5),Finder!$D$8*Assumptions!$C$16*2*ASIN(SQRT(SIN(RADIANS(E728-Finder!$G$5)/2)^2+COS(RADIANS(Finder!$G$5))*COS(RADIANS(E728))*SIN(RADIANS(F728-Finder!$G$6)/2)^2)),"")</f>
        <v>1310.4567402625535</v>
      </c>
      <c r="R728" s="39">
        <f>IF(ISNUMBER(Q728),IF(Q728&lt;=Finder!$D$7,1,0),0)</f>
        <v>0</v>
      </c>
      <c r="S728" s="39" t="str">
        <f>IF(R728=1,O728+ROW()*0.000000001,"")</f>
        <v/>
      </c>
      <c r="T728" s="39" t="str">
        <f>IF(O728&gt;0,INDEX(Calc!$B$4:$B$11,MATCH(MAX(G728:N728),G728:N728,0)),"-")</f>
        <v>Mustard Stalk</v>
      </c>
    </row>
    <row r="729" spans="1:20">
      <c r="A729" s="39">
        <v>726</v>
      </c>
      <c r="B729" s="39" t="s">
        <v>810</v>
      </c>
      <c r="C729" s="39" t="s">
        <v>814</v>
      </c>
      <c r="D729" s="39" t="str">
        <f>B729&amp;"|"&amp;C729</f>
        <v>West Bengal|Cooch Behar</v>
      </c>
      <c r="E729" s="40">
        <v>26.32</v>
      </c>
      <c r="F729" s="40">
        <v>89.45</v>
      </c>
      <c r="G729" s="41">
        <v>0</v>
      </c>
      <c r="H729" s="41">
        <v>0</v>
      </c>
      <c r="I729" s="41">
        <v>187.17509999999999</v>
      </c>
      <c r="J729" s="41">
        <v>17.758199999999999</v>
      </c>
      <c r="K729" s="41">
        <v>1.5873999999999999</v>
      </c>
      <c r="L729" s="41">
        <v>0.1852</v>
      </c>
      <c r="M729" s="41">
        <v>0</v>
      </c>
      <c r="N729" s="41">
        <v>0</v>
      </c>
      <c r="O729" s="42">
        <f>SUM(G729:N729)</f>
        <v>206.70589999999999</v>
      </c>
      <c r="P729" s="42">
        <f>SUMPRODUCT(G729:N729,$G$2:$N$2)*1000/Assumptions!$C$15</f>
        <v>60.805986252199418</v>
      </c>
      <c r="Q729" s="43">
        <f>IF(ISNUMBER(Finder!$G$5),Finder!$D$8*Assumptions!$C$16*2*ASIN(SQRT(SIN(RADIANS(E729-Finder!$G$5)/2)^2+COS(RADIANS(Finder!$G$5))*COS(RADIANS(E729))*SIN(RADIANS(F729-Finder!$G$6)/2)^2)),"")</f>
        <v>1386.5288372851176</v>
      </c>
      <c r="R729" s="39">
        <f>IF(ISNUMBER(Q729),IF(Q729&lt;=Finder!$D$7,1,0),0)</f>
        <v>0</v>
      </c>
      <c r="S729" s="39" t="str">
        <f>IF(R729=1,O729+ROW()*0.000000001,"")</f>
        <v/>
      </c>
      <c r="T729" s="39" t="str">
        <f>IF(O729&gt;0,INDEX(Calc!$B$4:$B$11,MATCH(MAX(G729:N729),G729:N729,0)),"-")</f>
        <v>Maize Stover</v>
      </c>
    </row>
    <row r="730" spans="1:20">
      <c r="A730" s="39">
        <v>727</v>
      </c>
      <c r="B730" s="39" t="s">
        <v>810</v>
      </c>
      <c r="C730" s="39" t="s">
        <v>815</v>
      </c>
      <c r="D730" s="39" t="str">
        <f>B730&amp;"|"&amp;C730</f>
        <v>West Bengal|Dakshin Dinajpur</v>
      </c>
      <c r="E730" s="40">
        <v>25.22</v>
      </c>
      <c r="F730" s="40">
        <v>88.77</v>
      </c>
      <c r="G730" s="41">
        <v>0</v>
      </c>
      <c r="H730" s="41">
        <v>0</v>
      </c>
      <c r="I730" s="41">
        <v>60.576599999999999</v>
      </c>
      <c r="J730" s="41">
        <v>65.648399999999995</v>
      </c>
      <c r="K730" s="41">
        <v>0.26889999999999997</v>
      </c>
      <c r="L730" s="41">
        <v>3.1399999999999997E-2</v>
      </c>
      <c r="M730" s="41">
        <v>0</v>
      </c>
      <c r="N730" s="41">
        <v>0</v>
      </c>
      <c r="O730" s="42">
        <f>SUM(G730:N730)</f>
        <v>126.5253</v>
      </c>
      <c r="P730" s="42">
        <f>SUMPRODUCT(G730:N730,$G$2:$N$2)*1000/Assumptions!$C$15</f>
        <v>37.220907506744865</v>
      </c>
      <c r="Q730" s="43">
        <f>IF(ISNUMBER(Finder!$G$5),Finder!$D$8*Assumptions!$C$16*2*ASIN(SQRT(SIN(RADIANS(E730-Finder!$G$5)/2)^2+COS(RADIANS(Finder!$G$5))*COS(RADIANS(E730))*SIN(RADIANS(F730-Finder!$G$6)/2)^2)),"")</f>
        <v>1361.7819099015558</v>
      </c>
      <c r="R730" s="39">
        <f>IF(ISNUMBER(Q730),IF(Q730&lt;=Finder!$D$7,1,0),0)</f>
        <v>0</v>
      </c>
      <c r="S730" s="39" t="str">
        <f>IF(R730=1,O730+ROW()*0.000000001,"")</f>
        <v/>
      </c>
      <c r="T730" s="39" t="str">
        <f>IF(O730&gt;0,INDEX(Calc!$B$4:$B$11,MATCH(MAX(G730:N730),G730:N730,0)),"-")</f>
        <v>Mustard Stalk</v>
      </c>
    </row>
    <row r="731" spans="1:20">
      <c r="A731" s="39">
        <v>728</v>
      </c>
      <c r="B731" s="39" t="s">
        <v>810</v>
      </c>
      <c r="C731" s="39" t="s">
        <v>816</v>
      </c>
      <c r="D731" s="39" t="str">
        <f>B731&amp;"|"&amp;C731</f>
        <v>West Bengal|Darjeeling</v>
      </c>
      <c r="E731" s="40">
        <v>27.04</v>
      </c>
      <c r="F731" s="40">
        <v>88.26</v>
      </c>
      <c r="G731" s="41">
        <v>0</v>
      </c>
      <c r="H731" s="41">
        <v>0</v>
      </c>
      <c r="I731" s="41">
        <v>5.6337999999999999</v>
      </c>
      <c r="J731" s="41">
        <v>0.15559999999999999</v>
      </c>
      <c r="K731" s="41">
        <v>0.1404</v>
      </c>
      <c r="L731" s="41">
        <v>1.6400000000000001E-2</v>
      </c>
      <c r="M731" s="41">
        <v>0.13389999999999999</v>
      </c>
      <c r="N731" s="41">
        <v>0</v>
      </c>
      <c r="O731" s="42">
        <f>SUM(G731:N731)</f>
        <v>6.0800999999999989</v>
      </c>
      <c r="P731" s="42">
        <f>SUMPRODUCT(G731:N731,$G$2:$N$2)*1000/Assumptions!$C$15</f>
        <v>1.7912676504398826</v>
      </c>
      <c r="Q731" s="43">
        <f>IF(ISNUMBER(Finder!$G$5),Finder!$D$8*Assumptions!$C$16*2*ASIN(SQRT(SIN(RADIANS(E731-Finder!$G$5)/2)^2+COS(RADIANS(Finder!$G$5))*COS(RADIANS(E731))*SIN(RADIANS(F731-Finder!$G$6)/2)^2)),"")</f>
        <v>1251.5931481878913</v>
      </c>
      <c r="R731" s="39">
        <f>IF(ISNUMBER(Q731),IF(Q731&lt;=Finder!$D$7,1,0),0)</f>
        <v>0</v>
      </c>
      <c r="S731" s="39" t="str">
        <f>IF(R731=1,O731+ROW()*0.000000001,"")</f>
        <v/>
      </c>
      <c r="T731" s="39" t="str">
        <f>IF(O731&gt;0,INDEX(Calc!$B$4:$B$11,MATCH(MAX(G731:N731),G731:N731,0)),"-")</f>
        <v>Maize Stover</v>
      </c>
    </row>
    <row r="732" spans="1:20">
      <c r="A732" s="39">
        <v>729</v>
      </c>
      <c r="B732" s="39" t="s">
        <v>810</v>
      </c>
      <c r="C732" s="39" t="s">
        <v>817</v>
      </c>
      <c r="D732" s="39" t="str">
        <f>B732&amp;"|"&amp;C732</f>
        <v>West Bengal|Hooghly</v>
      </c>
      <c r="E732" s="40">
        <v>22.9</v>
      </c>
      <c r="F732" s="40">
        <v>88.39</v>
      </c>
      <c r="G732" s="41">
        <v>0</v>
      </c>
      <c r="H732" s="41">
        <v>0</v>
      </c>
      <c r="I732" s="41">
        <v>2.2606000000000002</v>
      </c>
      <c r="J732" s="41">
        <v>5.48</v>
      </c>
      <c r="K732" s="41">
        <v>5.9158999999999997</v>
      </c>
      <c r="L732" s="41">
        <v>0.69020000000000004</v>
      </c>
      <c r="M732" s="41">
        <v>0</v>
      </c>
      <c r="N732" s="41">
        <v>0</v>
      </c>
      <c r="O732" s="42">
        <f>SUM(G732:N732)</f>
        <v>14.346700000000002</v>
      </c>
      <c r="P732" s="42">
        <f>SUMPRODUCT(G732:N732,$G$2:$N$2)*1000/Assumptions!$C$15</f>
        <v>4.2088689671554249</v>
      </c>
      <c r="Q732" s="43">
        <f>IF(ISNUMBER(Finder!$G$5),Finder!$D$8*Assumptions!$C$16*2*ASIN(SQRT(SIN(RADIANS(E732-Finder!$G$5)/2)^2+COS(RADIANS(Finder!$G$5))*COS(RADIANS(E732))*SIN(RADIANS(F732-Finder!$G$6)/2)^2)),"")</f>
        <v>1442.814083723513</v>
      </c>
      <c r="R732" s="39">
        <f>IF(ISNUMBER(Q732),IF(Q732&lt;=Finder!$D$7,1,0),0)</f>
        <v>0</v>
      </c>
      <c r="S732" s="39" t="str">
        <f>IF(R732=1,O732+ROW()*0.000000001,"")</f>
        <v/>
      </c>
      <c r="T732" s="39" t="str">
        <f>IF(O732&gt;0,INDEX(Calc!$B$4:$B$11,MATCH(MAX(G732:N732),G732:N732,0)),"-")</f>
        <v>Cane Trash</v>
      </c>
    </row>
    <row r="733" spans="1:20">
      <c r="A733" s="39">
        <v>730</v>
      </c>
      <c r="B733" s="39" t="s">
        <v>810</v>
      </c>
      <c r="C733" s="39" t="s">
        <v>818</v>
      </c>
      <c r="D733" s="39" t="str">
        <f>B733&amp;"|"&amp;C733</f>
        <v>West Bengal|Howrah</v>
      </c>
      <c r="E733" s="40">
        <v>22.59</v>
      </c>
      <c r="F733" s="40">
        <v>88.31</v>
      </c>
      <c r="G733" s="41">
        <v>0</v>
      </c>
      <c r="H733" s="41">
        <v>0</v>
      </c>
      <c r="I733" s="41">
        <v>0.94920000000000004</v>
      </c>
      <c r="J733" s="41">
        <v>1.2384999999999999</v>
      </c>
      <c r="K733" s="41">
        <v>1.5032000000000001</v>
      </c>
      <c r="L733" s="41">
        <v>0.1754</v>
      </c>
      <c r="M733" s="41">
        <v>0</v>
      </c>
      <c r="N733" s="41">
        <v>0</v>
      </c>
      <c r="O733" s="42">
        <f>SUM(G733:N733)</f>
        <v>3.8662999999999998</v>
      </c>
      <c r="P733" s="42">
        <f>SUMPRODUCT(G733:N733,$G$2:$N$2)*1000/Assumptions!$C$15</f>
        <v>1.1344258891495602</v>
      </c>
      <c r="Q733" s="43">
        <f>IF(ISNUMBER(Finder!$G$5),Finder!$D$8*Assumptions!$C$16*2*ASIN(SQRT(SIN(RADIANS(E733-Finder!$G$5)/2)^2+COS(RADIANS(Finder!$G$5))*COS(RADIANS(E733))*SIN(RADIANS(F733-Finder!$G$6)/2)^2)),"")</f>
        <v>1454.1732970549433</v>
      </c>
      <c r="R733" s="39">
        <f>IF(ISNUMBER(Q733),IF(Q733&lt;=Finder!$D$7,1,0),0)</f>
        <v>0</v>
      </c>
      <c r="S733" s="39" t="str">
        <f>IF(R733=1,O733+ROW()*0.000000001,"")</f>
        <v/>
      </c>
      <c r="T733" s="39" t="str">
        <f>IF(O733&gt;0,INDEX(Calc!$B$4:$B$11,MATCH(MAX(G733:N733),G733:N733,0)),"-")</f>
        <v>Cane Trash</v>
      </c>
    </row>
    <row r="734" spans="1:20">
      <c r="A734" s="39">
        <v>731</v>
      </c>
      <c r="B734" s="39" t="s">
        <v>810</v>
      </c>
      <c r="C734" s="39" t="s">
        <v>819</v>
      </c>
      <c r="D734" s="39" t="str">
        <f>B734&amp;"|"&amp;C734</f>
        <v>West Bengal|Jalpaiguri</v>
      </c>
      <c r="E734" s="40">
        <v>26.52</v>
      </c>
      <c r="F734" s="40">
        <v>88.72</v>
      </c>
      <c r="G734" s="41">
        <v>0</v>
      </c>
      <c r="H734" s="41">
        <v>0</v>
      </c>
      <c r="I734" s="41">
        <v>81.939899999999994</v>
      </c>
      <c r="J734" s="41">
        <v>3.3582999999999998</v>
      </c>
      <c r="K734" s="41">
        <v>2.0230000000000001</v>
      </c>
      <c r="L734" s="41">
        <v>0.23599999999999999</v>
      </c>
      <c r="M734" s="41">
        <v>0</v>
      </c>
      <c r="N734" s="41">
        <v>0</v>
      </c>
      <c r="O734" s="42">
        <f>SUM(G734:N734)</f>
        <v>87.557199999999995</v>
      </c>
      <c r="P734" s="42">
        <f>SUMPRODUCT(G734:N734,$G$2:$N$2)*1000/Assumptions!$C$15</f>
        <v>25.753749475659831</v>
      </c>
      <c r="Q734" s="43">
        <f>IF(ISNUMBER(Finder!$G$5),Finder!$D$8*Assumptions!$C$16*2*ASIN(SQRT(SIN(RADIANS(E734-Finder!$G$5)/2)^2+COS(RADIANS(Finder!$G$5))*COS(RADIANS(E734))*SIN(RADIANS(F734-Finder!$G$6)/2)^2)),"")</f>
        <v>1310.5192623151304</v>
      </c>
      <c r="R734" s="39">
        <f>IF(ISNUMBER(Q734),IF(Q734&lt;=Finder!$D$7,1,0),0)</f>
        <v>0</v>
      </c>
      <c r="S734" s="39" t="str">
        <f>IF(R734=1,O734+ROW()*0.000000001,"")</f>
        <v/>
      </c>
      <c r="T734" s="39" t="str">
        <f>IF(O734&gt;0,INDEX(Calc!$B$4:$B$11,MATCH(MAX(G734:N734),G734:N734,0)),"-")</f>
        <v>Maize Stover</v>
      </c>
    </row>
    <row r="735" spans="1:20">
      <c r="A735" s="39">
        <v>732</v>
      </c>
      <c r="B735" s="39" t="s">
        <v>810</v>
      </c>
      <c r="C735" s="39" t="s">
        <v>820</v>
      </c>
      <c r="D735" s="39" t="str">
        <f>B735&amp;"|"&amp;C735</f>
        <v>West Bengal|Jhargram</v>
      </c>
      <c r="E735" s="40">
        <v>22.45</v>
      </c>
      <c r="F735" s="40">
        <v>86.99</v>
      </c>
      <c r="G735" s="41">
        <v>0</v>
      </c>
      <c r="H735" s="41">
        <v>0</v>
      </c>
      <c r="I735" s="41">
        <v>7.2386999999999997</v>
      </c>
      <c r="J735" s="41">
        <v>3.5703</v>
      </c>
      <c r="K735" s="41">
        <v>23.155000000000001</v>
      </c>
      <c r="L735" s="41">
        <v>2.7014</v>
      </c>
      <c r="M735" s="41">
        <v>0</v>
      </c>
      <c r="N735" s="41">
        <v>0</v>
      </c>
      <c r="O735" s="42">
        <f>SUM(G735:N735)</f>
        <v>36.665399999999998</v>
      </c>
      <c r="P735" s="42">
        <f>SUMPRODUCT(G735:N735,$G$2:$N$2)*1000/Assumptions!$C$15</f>
        <v>10.740630909677419</v>
      </c>
      <c r="Q735" s="43">
        <f>IF(ISNUMBER(Finder!$G$5),Finder!$D$8*Assumptions!$C$16*2*ASIN(SQRT(SIN(RADIANS(E735-Finder!$G$5)/2)^2+COS(RADIANS(Finder!$G$5))*COS(RADIANS(E735))*SIN(RADIANS(F735-Finder!$G$6)/2)^2)),"")</f>
        <v>1350.8258720143331</v>
      </c>
      <c r="R735" s="39">
        <f>IF(ISNUMBER(Q735),IF(Q735&lt;=Finder!$D$7,1,0),0)</f>
        <v>0</v>
      </c>
      <c r="S735" s="39" t="str">
        <f>IF(R735=1,O735+ROW()*0.000000001,"")</f>
        <v/>
      </c>
      <c r="T735" s="39" t="str">
        <f>IF(O735&gt;0,INDEX(Calc!$B$4:$B$11,MATCH(MAX(G735:N735),G735:N735,0)),"-")</f>
        <v>Cane Trash</v>
      </c>
    </row>
    <row r="736" spans="1:20">
      <c r="A736" s="39">
        <v>733</v>
      </c>
      <c r="B736" s="39" t="s">
        <v>810</v>
      </c>
      <c r="C736" s="39" t="s">
        <v>821</v>
      </c>
      <c r="D736" s="39" t="str">
        <f>B736&amp;"|"&amp;C736</f>
        <v>West Bengal|Kalimpong</v>
      </c>
      <c r="E736" s="40">
        <v>27.06</v>
      </c>
      <c r="F736" s="40">
        <v>88.47</v>
      </c>
      <c r="G736" s="41">
        <v>0</v>
      </c>
      <c r="H736" s="41">
        <v>0</v>
      </c>
      <c r="I736" s="41">
        <v>91.142099999999999</v>
      </c>
      <c r="J736" s="41">
        <v>0.17699999999999999</v>
      </c>
      <c r="K736" s="41">
        <v>0</v>
      </c>
      <c r="L736" s="41">
        <v>0</v>
      </c>
      <c r="M736" s="41">
        <v>0</v>
      </c>
      <c r="N736" s="41">
        <v>0</v>
      </c>
      <c r="O736" s="42">
        <f>SUM(G736:N736)</f>
        <v>91.319100000000006</v>
      </c>
      <c r="P736" s="42">
        <f>SUMPRODUCT(G736:N736,$G$2:$N$2)*1000/Assumptions!$C$15</f>
        <v>26.864418872727278</v>
      </c>
      <c r="Q736" s="43">
        <f>IF(ISNUMBER(Finder!$G$5),Finder!$D$8*Assumptions!$C$16*2*ASIN(SQRT(SIN(RADIANS(E736-Finder!$G$5)/2)^2+COS(RADIANS(Finder!$G$5))*COS(RADIANS(E736))*SIN(RADIANS(F736-Finder!$G$6)/2)^2)),"")</f>
        <v>1271.2827594742912</v>
      </c>
      <c r="R736" s="39">
        <f>IF(ISNUMBER(Q736),IF(Q736&lt;=Finder!$D$7,1,0),0)</f>
        <v>0</v>
      </c>
      <c r="S736" s="39" t="str">
        <f>IF(R736=1,O736+ROW()*0.000000001,"")</f>
        <v/>
      </c>
      <c r="T736" s="39" t="str">
        <f>IF(O736&gt;0,INDEX(Calc!$B$4:$B$11,MATCH(MAX(G736:N736),G736:N736,0)),"-")</f>
        <v>Maize Stover</v>
      </c>
    </row>
    <row r="737" spans="1:20">
      <c r="A737" s="39">
        <v>734</v>
      </c>
      <c r="B737" s="39" t="s">
        <v>810</v>
      </c>
      <c r="C737" s="39" t="s">
        <v>822</v>
      </c>
      <c r="D737" s="39" t="str">
        <f>B737&amp;"|"&amp;C737</f>
        <v>West Bengal|Malda</v>
      </c>
      <c r="E737" s="40">
        <v>25</v>
      </c>
      <c r="F737" s="40">
        <v>88.14</v>
      </c>
      <c r="G737" s="41">
        <v>0</v>
      </c>
      <c r="H737" s="41">
        <v>0</v>
      </c>
      <c r="I737" s="41">
        <v>394.72539999999998</v>
      </c>
      <c r="J737" s="41">
        <v>46.453800000000001</v>
      </c>
      <c r="K737" s="41">
        <v>42.315800000000003</v>
      </c>
      <c r="L737" s="41">
        <v>4.9367999999999999</v>
      </c>
      <c r="M737" s="41">
        <v>0</v>
      </c>
      <c r="N737" s="41">
        <v>0</v>
      </c>
      <c r="O737" s="42">
        <f>SUM(G737:N737)</f>
        <v>488.43180000000001</v>
      </c>
      <c r="P737" s="42">
        <f>SUMPRODUCT(G737:N737,$G$2:$N$2)*1000/Assumptions!$C$15</f>
        <v>143.60430780293257</v>
      </c>
      <c r="Q737" s="43">
        <f>IF(ISNUMBER(Finder!$G$5),Finder!$D$8*Assumptions!$C$16*2*ASIN(SQRT(SIN(RADIANS(E737-Finder!$G$5)/2)^2+COS(RADIANS(Finder!$G$5))*COS(RADIANS(E737))*SIN(RADIANS(F737-Finder!$G$6)/2)^2)),"")</f>
        <v>1312.5098188766231</v>
      </c>
      <c r="R737" s="39">
        <f>IF(ISNUMBER(Q737),IF(Q737&lt;=Finder!$D$7,1,0),0)</f>
        <v>0</v>
      </c>
      <c r="S737" s="39" t="str">
        <f>IF(R737=1,O737+ROW()*0.000000001,"")</f>
        <v/>
      </c>
      <c r="T737" s="39" t="str">
        <f>IF(O737&gt;0,INDEX(Calc!$B$4:$B$11,MATCH(MAX(G737:N737),G737:N737,0)),"-")</f>
        <v>Maize Stover</v>
      </c>
    </row>
    <row r="738" spans="1:20">
      <c r="A738" s="39">
        <v>735</v>
      </c>
      <c r="B738" s="39" t="s">
        <v>810</v>
      </c>
      <c r="C738" s="39" t="s">
        <v>823</v>
      </c>
      <c r="D738" s="39" t="str">
        <f>B738&amp;"|"&amp;C738</f>
        <v>West Bengal|Murshidabad</v>
      </c>
      <c r="E738" s="40">
        <v>24.1</v>
      </c>
      <c r="F738" s="40">
        <v>88.25</v>
      </c>
      <c r="G738" s="41">
        <v>0</v>
      </c>
      <c r="H738" s="41">
        <v>0</v>
      </c>
      <c r="I738" s="41">
        <v>400.0668</v>
      </c>
      <c r="J738" s="41">
        <v>102.2085</v>
      </c>
      <c r="K738" s="41">
        <v>41.990900000000003</v>
      </c>
      <c r="L738" s="41">
        <v>4.8989000000000003</v>
      </c>
      <c r="M738" s="41">
        <v>0</v>
      </c>
      <c r="N738" s="41">
        <v>0</v>
      </c>
      <c r="O738" s="42">
        <f>SUM(G738:N738)</f>
        <v>549.16510000000005</v>
      </c>
      <c r="P738" s="42">
        <f>SUMPRODUCT(G738:N738,$G$2:$N$2)*1000/Assumptions!$C$15</f>
        <v>161.47158030821114</v>
      </c>
      <c r="Q738" s="43">
        <f>IF(ISNUMBER(Finder!$G$5),Finder!$D$8*Assumptions!$C$16*2*ASIN(SQRT(SIN(RADIANS(E738-Finder!$G$5)/2)^2+COS(RADIANS(Finder!$G$5))*COS(RADIANS(E738))*SIN(RADIANS(F738-Finder!$G$6)/2)^2)),"")</f>
        <v>1365.1561580846442</v>
      </c>
      <c r="R738" s="39">
        <f>IF(ISNUMBER(Q738),IF(Q738&lt;=Finder!$D$7,1,0),0)</f>
        <v>0</v>
      </c>
      <c r="S738" s="39" t="str">
        <f>IF(R738=1,O738+ROW()*0.000000001,"")</f>
        <v/>
      </c>
      <c r="T738" s="39" t="str">
        <f>IF(O738&gt;0,INDEX(Calc!$B$4:$B$11,MATCH(MAX(G738:N738),G738:N738,0)),"-")</f>
        <v>Maize Stover</v>
      </c>
    </row>
    <row r="739" spans="1:20">
      <c r="A739" s="39">
        <v>736</v>
      </c>
      <c r="B739" s="39" t="s">
        <v>810</v>
      </c>
      <c r="C739" s="39" t="s">
        <v>824</v>
      </c>
      <c r="D739" s="39" t="str">
        <f>B739&amp;"|"&amp;C739</f>
        <v>West Bengal|Nadia</v>
      </c>
      <c r="E739" s="40">
        <v>23.4</v>
      </c>
      <c r="F739" s="40">
        <v>88.5</v>
      </c>
      <c r="G739" s="41">
        <v>0</v>
      </c>
      <c r="H739" s="41">
        <v>0</v>
      </c>
      <c r="I739" s="41">
        <v>154.3458</v>
      </c>
      <c r="J739" s="41">
        <v>65.683899999999994</v>
      </c>
      <c r="K739" s="41">
        <v>28.4481</v>
      </c>
      <c r="L739" s="41">
        <v>3.3189000000000002</v>
      </c>
      <c r="M739" s="41">
        <v>0</v>
      </c>
      <c r="N739" s="41">
        <v>0</v>
      </c>
      <c r="O739" s="42">
        <f>SUM(G739:N739)</f>
        <v>251.79670000000002</v>
      </c>
      <c r="P739" s="42">
        <f>SUMPRODUCT(G739:N739,$G$2:$N$2)*1000/Assumptions!$C$15</f>
        <v>74.017913865982408</v>
      </c>
      <c r="Q739" s="43">
        <f>IF(ISNUMBER(Finder!$G$5),Finder!$D$8*Assumptions!$C$16*2*ASIN(SQRT(SIN(RADIANS(E739-Finder!$G$5)/2)^2+COS(RADIANS(Finder!$G$5))*COS(RADIANS(E739))*SIN(RADIANS(F739-Finder!$G$6)/2)^2)),"")</f>
        <v>1424.3631287019348</v>
      </c>
      <c r="R739" s="39">
        <f>IF(ISNUMBER(Q739),IF(Q739&lt;=Finder!$D$7,1,0),0)</f>
        <v>0</v>
      </c>
      <c r="S739" s="39" t="str">
        <f>IF(R739=1,O739+ROW()*0.000000001,"")</f>
        <v/>
      </c>
      <c r="T739" s="39" t="str">
        <f>IF(O739&gt;0,INDEX(Calc!$B$4:$B$11,MATCH(MAX(G739:N739),G739:N739,0)),"-")</f>
        <v>Maize Stover</v>
      </c>
    </row>
    <row r="740" spans="1:20">
      <c r="A740" s="39">
        <v>737</v>
      </c>
      <c r="B740" s="39" t="s">
        <v>810</v>
      </c>
      <c r="C740" s="39" t="s">
        <v>825</v>
      </c>
      <c r="D740" s="39" t="str">
        <f>B740&amp;"|"&amp;C740</f>
        <v>West Bengal|North 24 Parganas</v>
      </c>
      <c r="E740" s="40">
        <v>22.72</v>
      </c>
      <c r="F740" s="40">
        <v>88.48</v>
      </c>
      <c r="G740" s="41">
        <v>0</v>
      </c>
      <c r="H740" s="41">
        <v>0</v>
      </c>
      <c r="I740" s="41">
        <v>3.7705000000000002</v>
      </c>
      <c r="J740" s="41">
        <v>34.4666</v>
      </c>
      <c r="K740" s="41">
        <v>24.036799999999999</v>
      </c>
      <c r="L740" s="41">
        <v>2.8043</v>
      </c>
      <c r="M740" s="41">
        <v>0</v>
      </c>
      <c r="N740" s="41">
        <v>0</v>
      </c>
      <c r="O740" s="42">
        <f>SUM(G740:N740)</f>
        <v>65.078199999999995</v>
      </c>
      <c r="P740" s="42">
        <f>SUMPRODUCT(G740:N740,$G$2:$N$2)*1000/Assumptions!$C$15</f>
        <v>19.097416902346044</v>
      </c>
      <c r="Q740" s="43">
        <f>IF(ISNUMBER(Finder!$G$5),Finder!$D$8*Assumptions!$C$16*2*ASIN(SQRT(SIN(RADIANS(E740-Finder!$G$5)/2)^2+COS(RADIANS(Finder!$G$5))*COS(RADIANS(E740))*SIN(RADIANS(F740-Finder!$G$6)/2)^2)),"")</f>
        <v>1461.1803947019366</v>
      </c>
      <c r="R740" s="39">
        <f>IF(ISNUMBER(Q740),IF(Q740&lt;=Finder!$D$7,1,0),0)</f>
        <v>0</v>
      </c>
      <c r="S740" s="39" t="str">
        <f>IF(R740=1,O740+ROW()*0.000000001,"")</f>
        <v/>
      </c>
      <c r="T740" s="39" t="str">
        <f>IF(O740&gt;0,INDEX(Calc!$B$4:$B$11,MATCH(MAX(G740:N740),G740:N740,0)),"-")</f>
        <v>Mustard Stalk</v>
      </c>
    </row>
    <row r="741" spans="1:20">
      <c r="A741" s="39">
        <v>738</v>
      </c>
      <c r="B741" s="39" t="s">
        <v>810</v>
      </c>
      <c r="C741" s="39" t="s">
        <v>826</v>
      </c>
      <c r="D741" s="39" t="str">
        <f>B741&amp;"|"&amp;C741</f>
        <v>West Bengal|Paschim Bardhaman</v>
      </c>
      <c r="E741" s="40">
        <v>23.68</v>
      </c>
      <c r="F741" s="40">
        <v>86.98</v>
      </c>
      <c r="G741" s="41">
        <v>0</v>
      </c>
      <c r="H741" s="41">
        <v>0</v>
      </c>
      <c r="I741" s="41">
        <v>6.09</v>
      </c>
      <c r="J741" s="41">
        <v>1.7468999999999999</v>
      </c>
      <c r="K741" s="41">
        <v>0.46929999999999999</v>
      </c>
      <c r="L741" s="41">
        <v>5.4699999999999999E-2</v>
      </c>
      <c r="M741" s="41">
        <v>0</v>
      </c>
      <c r="N741" s="41">
        <v>0</v>
      </c>
      <c r="O741" s="42">
        <f>SUM(G741:N741)</f>
        <v>8.3609000000000009</v>
      </c>
      <c r="P741" s="42">
        <f>SUMPRODUCT(G741:N741,$G$2:$N$2)*1000/Assumptions!$C$15</f>
        <v>2.458708280645161</v>
      </c>
      <c r="Q741" s="43">
        <f>IF(ISNUMBER(Finder!$G$5),Finder!$D$8*Assumptions!$C$16*2*ASIN(SQRT(SIN(RADIANS(E741-Finder!$G$5)/2)^2+COS(RADIANS(Finder!$G$5))*COS(RADIANS(E741))*SIN(RADIANS(F741-Finder!$G$6)/2)^2)),"")</f>
        <v>1274.7059521593217</v>
      </c>
      <c r="R741" s="39">
        <f>IF(ISNUMBER(Q741),IF(Q741&lt;=Finder!$D$7,1,0),0)</f>
        <v>0</v>
      </c>
      <c r="S741" s="39" t="str">
        <f>IF(R741=1,O741+ROW()*0.000000001,"")</f>
        <v/>
      </c>
      <c r="T741" s="39" t="str">
        <f>IF(O741&gt;0,INDEX(Calc!$B$4:$B$11,MATCH(MAX(G741:N741),G741:N741,0)),"-")</f>
        <v>Maize Stover</v>
      </c>
    </row>
    <row r="742" spans="1:20">
      <c r="A742" s="39">
        <v>739</v>
      </c>
      <c r="B742" s="39" t="s">
        <v>810</v>
      </c>
      <c r="C742" s="39" t="s">
        <v>827</v>
      </c>
      <c r="D742" s="39" t="str">
        <f>B742&amp;"|"&amp;C742</f>
        <v>West Bengal|Paschim Medinipur</v>
      </c>
      <c r="E742" s="40">
        <v>22.42</v>
      </c>
      <c r="F742" s="40">
        <v>87.32</v>
      </c>
      <c r="G742" s="41">
        <v>0</v>
      </c>
      <c r="H742" s="41">
        <v>0</v>
      </c>
      <c r="I742" s="41">
        <v>5.8232999999999997</v>
      </c>
      <c r="J742" s="41">
        <v>10.136900000000001</v>
      </c>
      <c r="K742" s="41">
        <v>23.340399999999999</v>
      </c>
      <c r="L742" s="41">
        <v>2.7229999999999999</v>
      </c>
      <c r="M742" s="41">
        <v>0</v>
      </c>
      <c r="N742" s="41">
        <v>0</v>
      </c>
      <c r="O742" s="42">
        <f>SUM(G742:N742)</f>
        <v>42.023600000000002</v>
      </c>
      <c r="P742" s="42">
        <f>SUMPRODUCT(G742:N742,$G$2:$N$2)*1000/Assumptions!$C$15</f>
        <v>12.316555547800585</v>
      </c>
      <c r="Q742" s="43">
        <f>IF(ISNUMBER(Finder!$G$5),Finder!$D$8*Assumptions!$C$16*2*ASIN(SQRT(SIN(RADIANS(E742-Finder!$G$5)/2)^2+COS(RADIANS(Finder!$G$5))*COS(RADIANS(E742))*SIN(RADIANS(F742-Finder!$G$6)/2)^2)),"")</f>
        <v>1380.3721783738742</v>
      </c>
      <c r="R742" s="39">
        <f>IF(ISNUMBER(Q742),IF(Q742&lt;=Finder!$D$7,1,0),0)</f>
        <v>0</v>
      </c>
      <c r="S742" s="39" t="str">
        <f>IF(R742=1,O742+ROW()*0.000000001,"")</f>
        <v/>
      </c>
      <c r="T742" s="39" t="str">
        <f>IF(O742&gt;0,INDEX(Calc!$B$4:$B$11,MATCH(MAX(G742:N742),G742:N742,0)),"-")</f>
        <v>Cane Trash</v>
      </c>
    </row>
    <row r="743" spans="1:20">
      <c r="A743" s="39">
        <v>740</v>
      </c>
      <c r="B743" s="39" t="s">
        <v>810</v>
      </c>
      <c r="C743" s="39" t="s">
        <v>828</v>
      </c>
      <c r="D743" s="39" t="str">
        <f>B743&amp;"|"&amp;C743</f>
        <v>West Bengal|Purba Bardhaman</v>
      </c>
      <c r="E743" s="40">
        <v>23.23</v>
      </c>
      <c r="F743" s="40">
        <v>87.86</v>
      </c>
      <c r="G743" s="41">
        <v>0</v>
      </c>
      <c r="H743" s="41">
        <v>0</v>
      </c>
      <c r="I743" s="41">
        <v>0.59219999999999995</v>
      </c>
      <c r="J743" s="41">
        <v>20.310500000000001</v>
      </c>
      <c r="K743" s="41">
        <v>22.134799999999998</v>
      </c>
      <c r="L743" s="41">
        <v>2.5823999999999998</v>
      </c>
      <c r="M743" s="41">
        <v>0</v>
      </c>
      <c r="N743" s="41">
        <v>0</v>
      </c>
      <c r="O743" s="42">
        <f>SUM(G743:N743)</f>
        <v>45.619899999999994</v>
      </c>
      <c r="P743" s="42">
        <f>SUMPRODUCT(G743:N743,$G$2:$N$2)*1000/Assumptions!$C$15</f>
        <v>13.376889934310851</v>
      </c>
      <c r="Q743" s="43">
        <f>IF(ISNUMBER(Finder!$G$5),Finder!$D$8*Assumptions!$C$16*2*ASIN(SQRT(SIN(RADIANS(E743-Finder!$G$5)/2)^2+COS(RADIANS(Finder!$G$5))*COS(RADIANS(E743))*SIN(RADIANS(F743-Finder!$G$6)/2)^2)),"")</f>
        <v>1377.4212395809407</v>
      </c>
      <c r="R743" s="39">
        <f>IF(ISNUMBER(Q743),IF(Q743&lt;=Finder!$D$7,1,0),0)</f>
        <v>0</v>
      </c>
      <c r="S743" s="39" t="str">
        <f>IF(R743=1,O743+ROW()*0.000000001,"")</f>
        <v/>
      </c>
      <c r="T743" s="39" t="str">
        <f>IF(O743&gt;0,INDEX(Calc!$B$4:$B$11,MATCH(MAX(G743:N743),G743:N743,0)),"-")</f>
        <v>Cane Trash</v>
      </c>
    </row>
    <row r="744" spans="1:20">
      <c r="A744" s="39">
        <v>741</v>
      </c>
      <c r="B744" s="39" t="s">
        <v>810</v>
      </c>
      <c r="C744" s="39" t="s">
        <v>829</v>
      </c>
      <c r="D744" s="39" t="str">
        <f>B744&amp;"|"&amp;C744</f>
        <v>West Bengal|Purba Medinipur</v>
      </c>
      <c r="E744" s="40">
        <v>22.3</v>
      </c>
      <c r="F744" s="40">
        <v>87.92</v>
      </c>
      <c r="G744" s="41">
        <v>0</v>
      </c>
      <c r="H744" s="41">
        <v>0</v>
      </c>
      <c r="I744" s="41">
        <v>0.40060000000000001</v>
      </c>
      <c r="J744" s="41">
        <v>2.5762</v>
      </c>
      <c r="K744" s="41">
        <v>1.1881999999999999</v>
      </c>
      <c r="L744" s="41">
        <v>0.1386</v>
      </c>
      <c r="M744" s="41">
        <v>0</v>
      </c>
      <c r="N744" s="41">
        <v>0</v>
      </c>
      <c r="O744" s="42">
        <f>SUM(G744:N744)</f>
        <v>4.3036000000000003</v>
      </c>
      <c r="P744" s="42">
        <f>SUMPRODUCT(G744:N744,$G$2:$N$2)*1000/Assumptions!$C$15</f>
        <v>1.2637016111436949</v>
      </c>
      <c r="Q744" s="43">
        <f>IF(ISNUMBER(Finder!$G$5),Finder!$D$8*Assumptions!$C$16*2*ASIN(SQRT(SIN(RADIANS(E744-Finder!$G$5)/2)^2+COS(RADIANS(Finder!$G$5))*COS(RADIANS(E744))*SIN(RADIANS(F744-Finder!$G$6)/2)^2)),"")</f>
        <v>1438.6324796253714</v>
      </c>
      <c r="R744" s="39">
        <f>IF(ISNUMBER(Q744),IF(Q744&lt;=Finder!$D$7,1,0),0)</f>
        <v>0</v>
      </c>
      <c r="S744" s="39" t="str">
        <f>IF(R744=1,O744+ROW()*0.000000001,"")</f>
        <v/>
      </c>
      <c r="T744" s="39" t="str">
        <f>IF(O744&gt;0,INDEX(Calc!$B$4:$B$11,MATCH(MAX(G744:N744),G744:N744,0)),"-")</f>
        <v>Mustard Stalk</v>
      </c>
    </row>
    <row r="745" spans="1:20">
      <c r="A745" s="39">
        <v>742</v>
      </c>
      <c r="B745" s="39" t="s">
        <v>810</v>
      </c>
      <c r="C745" s="39" t="s">
        <v>830</v>
      </c>
      <c r="D745" s="39" t="str">
        <f>B745&amp;"|"&amp;C745</f>
        <v>West Bengal|Purulia</v>
      </c>
      <c r="E745" s="40">
        <v>23.33</v>
      </c>
      <c r="F745" s="40">
        <v>86.36</v>
      </c>
      <c r="G745" s="41">
        <v>0</v>
      </c>
      <c r="H745" s="41">
        <v>0</v>
      </c>
      <c r="I745" s="41">
        <v>18.104099999999999</v>
      </c>
      <c r="J745" s="41">
        <v>8.8462999999999994</v>
      </c>
      <c r="K745" s="41">
        <v>15.823600000000001</v>
      </c>
      <c r="L745" s="41">
        <v>1.8461000000000001</v>
      </c>
      <c r="M745" s="41">
        <v>0</v>
      </c>
      <c r="N745" s="41">
        <v>0</v>
      </c>
      <c r="O745" s="42">
        <f>SUM(G745:N745)</f>
        <v>44.620100000000001</v>
      </c>
      <c r="P745" s="42">
        <f>SUMPRODUCT(G745:N745,$G$2:$N$2)*1000/Assumptions!$C$15</f>
        <v>13.095212665982404</v>
      </c>
      <c r="Q745" s="43">
        <f>IF(ISNUMBER(Finder!$G$5),Finder!$D$8*Assumptions!$C$16*2*ASIN(SQRT(SIN(RADIANS(E745-Finder!$G$5)/2)^2+COS(RADIANS(Finder!$G$5))*COS(RADIANS(E745))*SIN(RADIANS(F745-Finder!$G$6)/2)^2)),"")</f>
        <v>1242.0271295291118</v>
      </c>
      <c r="R745" s="39">
        <f>IF(ISNUMBER(Q745),IF(Q745&lt;=Finder!$D$7,1,0),0)</f>
        <v>0</v>
      </c>
      <c r="S745" s="39" t="str">
        <f>IF(R745=1,O745+ROW()*0.000000001,"")</f>
        <v/>
      </c>
      <c r="T745" s="39" t="str">
        <f>IF(O745&gt;0,INDEX(Calc!$B$4:$B$11,MATCH(MAX(G745:N745),G745:N745,0)),"-")</f>
        <v>Maize Stover</v>
      </c>
    </row>
    <row r="746" spans="1:20">
      <c r="A746" s="39">
        <v>743</v>
      </c>
      <c r="B746" s="39" t="s">
        <v>810</v>
      </c>
      <c r="C746" s="39" t="s">
        <v>831</v>
      </c>
      <c r="D746" s="39" t="str">
        <f>B746&amp;"|"&amp;C746</f>
        <v>West Bengal|South 24 Parganas</v>
      </c>
      <c r="E746" s="40">
        <v>22.25</v>
      </c>
      <c r="F746" s="40">
        <v>88.4</v>
      </c>
      <c r="G746" s="41">
        <v>0</v>
      </c>
      <c r="H746" s="41">
        <v>0</v>
      </c>
      <c r="I746" s="41">
        <v>2.1252</v>
      </c>
      <c r="J746" s="41">
        <v>2.8915999999999999</v>
      </c>
      <c r="K746" s="41">
        <v>1.3205</v>
      </c>
      <c r="L746" s="41">
        <v>0.15409999999999999</v>
      </c>
      <c r="M746" s="41">
        <v>0</v>
      </c>
      <c r="N746" s="41">
        <v>0</v>
      </c>
      <c r="O746" s="42">
        <f>SUM(G746:N746)</f>
        <v>6.4913999999999996</v>
      </c>
      <c r="P746" s="42">
        <f>SUMPRODUCT(G746:N746,$G$2:$N$2)*1000/Assumptions!$C$15</f>
        <v>1.9070402671554252</v>
      </c>
      <c r="Q746" s="43">
        <f>IF(ISNUMBER(Finder!$G$5),Finder!$D$8*Assumptions!$C$16*2*ASIN(SQRT(SIN(RADIANS(E746-Finder!$G$5)/2)^2+COS(RADIANS(Finder!$G$5))*COS(RADIANS(E746))*SIN(RADIANS(F746-Finder!$G$6)/2)^2)),"")</f>
        <v>1482.6384071054249</v>
      </c>
      <c r="R746" s="39">
        <f>IF(ISNUMBER(Q746),IF(Q746&lt;=Finder!$D$7,1,0),0)</f>
        <v>0</v>
      </c>
      <c r="S746" s="39" t="str">
        <f>IF(R746=1,O746+ROW()*0.000000001,"")</f>
        <v/>
      </c>
      <c r="T746" s="39" t="str">
        <f>IF(O746&gt;0,INDEX(Calc!$B$4:$B$11,MATCH(MAX(G746:N746),G746:N746,0)),"-")</f>
        <v>Mustard Stalk</v>
      </c>
    </row>
    <row r="747" spans="1:20">
      <c r="A747" s="39">
        <v>744</v>
      </c>
      <c r="B747" s="39" t="s">
        <v>810</v>
      </c>
      <c r="C747" s="39" t="s">
        <v>832</v>
      </c>
      <c r="D747" s="39" t="str">
        <f>B747&amp;"|"&amp;C747</f>
        <v>West Bengal|Uttar Dinajpur</v>
      </c>
      <c r="E747" s="40">
        <v>25.62</v>
      </c>
      <c r="F747" s="40">
        <v>88.12</v>
      </c>
      <c r="G747" s="41">
        <v>0</v>
      </c>
      <c r="H747" s="41">
        <v>0</v>
      </c>
      <c r="I747" s="41">
        <v>787.53459999999995</v>
      </c>
      <c r="J747" s="41">
        <v>62.476799999999997</v>
      </c>
      <c r="K747" s="41">
        <v>9.218</v>
      </c>
      <c r="L747" s="41">
        <v>1.0753999999999999</v>
      </c>
      <c r="M747" s="41">
        <v>0</v>
      </c>
      <c r="N747" s="41">
        <v>0</v>
      </c>
      <c r="O747" s="42">
        <f>SUM(G747:N747)</f>
        <v>860.30479999999989</v>
      </c>
      <c r="P747" s="42">
        <f>SUMPRODUCT(G747:N747,$G$2:$N$2)*1000/Assumptions!$C$15</f>
        <v>253.06785645923753</v>
      </c>
      <c r="Q747" s="43">
        <f>IF(ISNUMBER(Finder!$G$5),Finder!$D$8*Assumptions!$C$16*2*ASIN(SQRT(SIN(RADIANS(E747-Finder!$G$5)/2)^2+COS(RADIANS(Finder!$G$5))*COS(RADIANS(E747))*SIN(RADIANS(F747-Finder!$G$6)/2)^2)),"")</f>
        <v>1284.8676768898149</v>
      </c>
      <c r="R747" s="39">
        <f>IF(ISNUMBER(Q747),IF(Q747&lt;=Finder!$D$7,1,0),0)</f>
        <v>0</v>
      </c>
      <c r="S747" s="39" t="str">
        <f>IF(R747=1,O747+ROW()*0.000000001,"")</f>
        <v/>
      </c>
      <c r="T747" s="39" t="str">
        <f>IF(O747&gt;0,INDEX(Calc!$B$4:$B$11,MATCH(MAX(G747:N747),G747:N747,0)),"-")</f>
        <v>Maize Stover</v>
      </c>
    </row>
  </sheetData>
  <conditionalFormatting sqref="A4:T747">
    <cfRule type="expression" dxfId="0" priority="2">
      <formula>$R4=1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5"/>
  <sheetViews>
    <sheetView zoomScaleNormal="100" workbookViewId="0"/>
  </sheetViews>
  <sheetFormatPr defaultColWidth="8.7109375" defaultRowHeight="15" customHeight="1"/>
  <cols>
    <col min="1" max="1" width="2" customWidth="1"/>
    <col min="2" max="2" width="24" customWidth="1"/>
    <col min="3" max="3" width="16" customWidth="1"/>
    <col min="4" max="4" width="58" customWidth="1"/>
    <col min="5" max="5" width="36" customWidth="1"/>
  </cols>
  <sheetData>
    <row r="2" spans="2:5" ht="17.45">
      <c r="B2" s="44" t="s">
        <v>833</v>
      </c>
    </row>
    <row r="3" spans="2:5">
      <c r="B3" s="3" t="s">
        <v>834</v>
      </c>
    </row>
    <row r="5" spans="2:5" ht="23.85">
      <c r="B5" s="1" t="s">
        <v>20</v>
      </c>
      <c r="C5" s="1" t="s">
        <v>835</v>
      </c>
      <c r="D5" s="1" t="s">
        <v>836</v>
      </c>
      <c r="E5" s="1" t="s">
        <v>837</v>
      </c>
    </row>
    <row r="6" spans="2:5">
      <c r="B6" s="45" t="s">
        <v>28</v>
      </c>
      <c r="C6" s="46">
        <v>0.12499499999999999</v>
      </c>
      <c r="D6" s="45" t="s">
        <v>838</v>
      </c>
      <c r="E6" s="45" t="s">
        <v>839</v>
      </c>
    </row>
    <row r="7" spans="2:5">
      <c r="B7" s="45" t="s">
        <v>29</v>
      </c>
      <c r="C7" s="47">
        <f>C6</f>
        <v>0.12499499999999999</v>
      </c>
      <c r="D7" s="45" t="s">
        <v>840</v>
      </c>
      <c r="E7" s="45" t="s">
        <v>841</v>
      </c>
    </row>
    <row r="8" spans="2:5">
      <c r="B8" s="45" t="s">
        <v>30</v>
      </c>
      <c r="C8" s="46">
        <v>0.100316</v>
      </c>
      <c r="D8" s="45" t="s">
        <v>842</v>
      </c>
      <c r="E8" s="45" t="s">
        <v>843</v>
      </c>
    </row>
    <row r="9" spans="2:5">
      <c r="B9" s="45" t="s">
        <v>31</v>
      </c>
      <c r="C9" s="47">
        <f>C8</f>
        <v>0.100316</v>
      </c>
      <c r="D9" s="45" t="s">
        <v>844</v>
      </c>
      <c r="E9" s="45" t="s">
        <v>845</v>
      </c>
    </row>
    <row r="10" spans="2:5">
      <c r="B10" s="45" t="s">
        <v>32</v>
      </c>
      <c r="C10" s="46">
        <v>0.106624</v>
      </c>
      <c r="D10" s="45" t="s">
        <v>846</v>
      </c>
      <c r="E10" s="45" t="s">
        <v>847</v>
      </c>
    </row>
    <row r="11" spans="2:5">
      <c r="B11" s="45" t="s">
        <v>33</v>
      </c>
      <c r="C11" s="46">
        <v>4.0482999999999998E-2</v>
      </c>
      <c r="D11" s="45" t="s">
        <v>848</v>
      </c>
      <c r="E11" s="45" t="s">
        <v>849</v>
      </c>
    </row>
    <row r="12" spans="2:5">
      <c r="B12" s="45" t="s">
        <v>34</v>
      </c>
      <c r="C12" s="46">
        <v>0.107684</v>
      </c>
      <c r="D12" s="45" t="s">
        <v>850</v>
      </c>
      <c r="E12" s="45" t="s">
        <v>851</v>
      </c>
    </row>
    <row r="13" spans="2:5">
      <c r="B13" s="45" t="s">
        <v>35</v>
      </c>
      <c r="C13" s="46">
        <v>3.8331999999999998E-2</v>
      </c>
      <c r="D13" s="45" t="s">
        <v>852</v>
      </c>
      <c r="E13" s="45" t="s">
        <v>853</v>
      </c>
    </row>
    <row r="15" spans="2:5">
      <c r="B15" s="48" t="s">
        <v>854</v>
      </c>
      <c r="C15" s="49">
        <v>341</v>
      </c>
      <c r="D15" s="48" t="s">
        <v>855</v>
      </c>
    </row>
    <row r="16" spans="2:5">
      <c r="B16" s="48" t="s">
        <v>856</v>
      </c>
      <c r="C16" s="49">
        <v>6371</v>
      </c>
      <c r="D16" s="48" t="s">
        <v>857</v>
      </c>
    </row>
    <row r="19" spans="2:5">
      <c r="B19" s="31" t="s">
        <v>858</v>
      </c>
    </row>
    <row r="20" spans="2:5" ht="30" customHeight="1">
      <c r="B20" s="51" t="s">
        <v>859</v>
      </c>
      <c r="C20" s="51"/>
      <c r="D20" s="51"/>
      <c r="E20" s="51"/>
    </row>
    <row r="21" spans="2:5" ht="30" customHeight="1">
      <c r="B21" s="51" t="s">
        <v>860</v>
      </c>
      <c r="C21" s="51"/>
      <c r="D21" s="51"/>
      <c r="E21" s="51"/>
    </row>
    <row r="22" spans="2:5" ht="30" customHeight="1">
      <c r="B22" s="51" t="s">
        <v>861</v>
      </c>
      <c r="C22" s="51"/>
      <c r="D22" s="51"/>
      <c r="E22" s="51"/>
    </row>
    <row r="23" spans="2:5" ht="30" customHeight="1">
      <c r="B23" s="51" t="s">
        <v>862</v>
      </c>
      <c r="C23" s="51"/>
      <c r="D23" s="51"/>
      <c r="E23" s="51"/>
    </row>
    <row r="24" spans="2:5" ht="30" customHeight="1">
      <c r="B24" s="51" t="s">
        <v>863</v>
      </c>
      <c r="C24" s="51"/>
      <c r="D24" s="51"/>
      <c r="E24" s="51"/>
    </row>
    <row r="25" spans="2:5" ht="30" customHeight="1">
      <c r="B25" s="51" t="s">
        <v>864</v>
      </c>
      <c r="C25" s="51"/>
      <c r="D25" s="51"/>
      <c r="E25" s="51"/>
    </row>
  </sheetData>
  <mergeCells count="6">
    <mergeCell ref="B25:E25"/>
    <mergeCell ref="B20:E20"/>
    <mergeCell ref="B21:E21"/>
    <mergeCell ref="B22:E22"/>
    <mergeCell ref="B23:E23"/>
    <mergeCell ref="B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</sheetPr>
  <dimension ref="A1:A35"/>
  <sheetViews>
    <sheetView zoomScaleNormal="100" workbookViewId="0"/>
  </sheetViews>
  <sheetFormatPr defaultColWidth="8.7109375" defaultRowHeight="15" customHeight="1"/>
  <cols>
    <col min="1" max="1" width="42" customWidth="1"/>
  </cols>
  <sheetData>
    <row r="1" spans="1:1">
      <c r="A1" s="31" t="s">
        <v>865</v>
      </c>
    </row>
    <row r="2" spans="1:1">
      <c r="A2" s="32" t="s">
        <v>62</v>
      </c>
    </row>
    <row r="3" spans="1:1">
      <c r="A3" s="32" t="s">
        <v>66</v>
      </c>
    </row>
    <row r="4" spans="1:1">
      <c r="A4" s="32" t="s">
        <v>93</v>
      </c>
    </row>
    <row r="5" spans="1:1">
      <c r="A5" s="32" t="s">
        <v>119</v>
      </c>
    </row>
    <row r="6" spans="1:1">
      <c r="A6" s="32" t="s">
        <v>153</v>
      </c>
    </row>
    <row r="7" spans="1:1">
      <c r="A7" s="32" t="s">
        <v>192</v>
      </c>
    </row>
    <row r="8" spans="1:1">
      <c r="A8" s="32" t="s">
        <v>193</v>
      </c>
    </row>
    <row r="9" spans="1:1">
      <c r="A9" s="32" t="s">
        <v>227</v>
      </c>
    </row>
    <row r="10" spans="1:1">
      <c r="A10" s="32" t="s">
        <v>230</v>
      </c>
    </row>
    <row r="11" spans="1:1">
      <c r="A11" s="32" t="s">
        <v>5</v>
      </c>
    </row>
    <row r="12" spans="1:1">
      <c r="A12" s="32" t="s">
        <v>285</v>
      </c>
    </row>
    <row r="13" spans="1:1">
      <c r="A13" s="32" t="s">
        <v>297</v>
      </c>
    </row>
    <row r="14" spans="1:1">
      <c r="A14" s="32" t="s">
        <v>317</v>
      </c>
    </row>
    <row r="15" spans="1:1">
      <c r="A15" s="32" t="s">
        <v>342</v>
      </c>
    </row>
    <row r="16" spans="1:1">
      <c r="A16" s="32" t="s">
        <v>374</v>
      </c>
    </row>
    <row r="17" spans="1:1">
      <c r="A17" s="32" t="s">
        <v>389</v>
      </c>
    </row>
    <row r="18" spans="1:1">
      <c r="A18" s="32" t="s">
        <v>392</v>
      </c>
    </row>
    <row r="19" spans="1:1">
      <c r="A19" s="32" t="s">
        <v>445</v>
      </c>
    </row>
    <row r="20" spans="1:1">
      <c r="A20" s="32" t="s">
        <v>480</v>
      </c>
    </row>
    <row r="21" spans="1:1">
      <c r="A21" s="32" t="s">
        <v>490</v>
      </c>
    </row>
    <row r="22" spans="1:1">
      <c r="A22" s="32" t="s">
        <v>502</v>
      </c>
    </row>
    <row r="23" spans="1:1">
      <c r="A23" s="32" t="s">
        <v>514</v>
      </c>
    </row>
    <row r="24" spans="1:1">
      <c r="A24" s="32" t="s">
        <v>531</v>
      </c>
    </row>
    <row r="25" spans="1:1">
      <c r="A25" s="32" t="s">
        <v>562</v>
      </c>
    </row>
    <row r="26" spans="1:1">
      <c r="A26" s="32" t="s">
        <v>564</v>
      </c>
    </row>
    <row r="27" spans="1:1">
      <c r="A27" s="32" t="s">
        <v>588</v>
      </c>
    </row>
    <row r="28" spans="1:1">
      <c r="A28" s="32" t="s">
        <v>630</v>
      </c>
    </row>
    <row r="29" spans="1:1">
      <c r="A29" s="32" t="s">
        <v>637</v>
      </c>
    </row>
    <row r="30" spans="1:1">
      <c r="A30" s="32" t="s">
        <v>676</v>
      </c>
    </row>
    <row r="31" spans="1:1">
      <c r="A31" s="32" t="s">
        <v>709</v>
      </c>
    </row>
    <row r="32" spans="1:1">
      <c r="A32" s="32" t="s">
        <v>713</v>
      </c>
    </row>
    <row r="33" spans="1:1">
      <c r="A33" s="32" t="s">
        <v>722</v>
      </c>
    </row>
    <row r="34" spans="1:1">
      <c r="A34" s="32" t="s">
        <v>796</v>
      </c>
    </row>
    <row r="35" spans="1:1">
      <c r="A35" s="32" t="s">
        <v>810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Sajal Sinha</dc:creator>
  <cp:keywords/>
  <dc:description/>
  <cp:lastModifiedBy/>
  <cp:revision>0</cp:revision>
  <dcterms:created xsi:type="dcterms:W3CDTF">2026-09-30T10:10:04Z</dcterms:created>
  <dcterms:modified xsi:type="dcterms:W3CDTF">2026-10-01T06:40:47Z</dcterms:modified>
  <cp:category/>
  <cp:contentStatus/>
</cp:coreProperties>
</file>